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EXCEL Assignment\"/>
    </mc:Choice>
  </mc:AlternateContent>
  <xr:revisionPtr revIDLastSave="0" documentId="8_{6385ED3C-BB54-438E-A176-F13FBFE3B0CF}" xr6:coauthVersionLast="47" xr6:coauthVersionMax="47" xr10:uidLastSave="{00000000-0000-0000-0000-000000000000}"/>
  <bookViews>
    <workbookView xWindow="-110" yWindow="-110" windowWidth="19420" windowHeight="10300" tabRatio="500" firstSheet="3" activeTab="4" xr2:uid="{00000000-000D-0000-FFFF-FFFF00000000}"/>
  </bookViews>
  <sheets>
    <sheet name="Sales_Data_Formatting" sheetId="7" r:id="rId1"/>
    <sheet name="Sales_Data (2)" sheetId="6" r:id="rId2"/>
    <sheet name="Instructions" sheetId="1" r:id="rId3"/>
    <sheet name="Sales_Data" sheetId="2" r:id="rId4"/>
    <sheet name="ASSIGNMENT" sheetId="3" r:id="rId5"/>
    <sheet name="Conditional_Formatting_Tasks" sheetId="4" r:id="rId6"/>
    <sheet name="Answer_Key (Trainer Only)" sheetId="5" state="hidden" r:id="rId7"/>
  </sheets>
  <definedNames>
    <definedName name="_xlnm._FilterDatabase" localSheetId="3" hidden="1">Sales_Data!$A$1:$M$101</definedName>
    <definedName name="_xlnm._FilterDatabase" localSheetId="1" hidden="1">'Sales_Data (2)'!$A$1:$M$101</definedName>
    <definedName name="_xlnm._FilterDatabase" localSheetId="0" hidden="1">Sales_Data_Formatting!$A$1:$M$101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" i="3" l="1"/>
  <c r="D6" i="3"/>
  <c r="D5" i="3"/>
  <c r="D14" i="3"/>
  <c r="D13" i="3"/>
  <c r="D12" i="3"/>
  <c r="D11" i="3"/>
  <c r="D10" i="3" a="1"/>
  <c r="D10" i="3" s="1"/>
  <c r="D8" i="3" a="1"/>
  <c r="D8" i="3" s="1"/>
  <c r="D4" i="3"/>
  <c r="D3" i="3"/>
  <c r="D2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7" i="3"/>
  <c r="J101" i="7"/>
  <c r="K101" i="7" s="1"/>
  <c r="K100" i="7"/>
  <c r="J100" i="7"/>
  <c r="J99" i="7"/>
  <c r="K99" i="7" s="1"/>
  <c r="J98" i="7"/>
  <c r="K98" i="7" s="1"/>
  <c r="J97" i="7"/>
  <c r="K97" i="7" s="1"/>
  <c r="K96" i="7"/>
  <c r="J96" i="7"/>
  <c r="J95" i="7"/>
  <c r="K95" i="7" s="1"/>
  <c r="J94" i="7"/>
  <c r="K94" i="7" s="1"/>
  <c r="J93" i="7"/>
  <c r="K93" i="7" s="1"/>
  <c r="K92" i="7"/>
  <c r="J92" i="7"/>
  <c r="J91" i="7"/>
  <c r="K91" i="7" s="1"/>
  <c r="J90" i="7"/>
  <c r="K90" i="7" s="1"/>
  <c r="J89" i="7"/>
  <c r="K89" i="7" s="1"/>
  <c r="K88" i="7"/>
  <c r="J88" i="7"/>
  <c r="J87" i="7"/>
  <c r="K87" i="7" s="1"/>
  <c r="J86" i="7"/>
  <c r="K86" i="7" s="1"/>
  <c r="J85" i="7"/>
  <c r="K85" i="7" s="1"/>
  <c r="K84" i="7"/>
  <c r="J84" i="7"/>
  <c r="J83" i="7"/>
  <c r="K83" i="7" s="1"/>
  <c r="J82" i="7"/>
  <c r="K82" i="7" s="1"/>
  <c r="J81" i="7"/>
  <c r="K81" i="7" s="1"/>
  <c r="K80" i="7"/>
  <c r="J80" i="7"/>
  <c r="J79" i="7"/>
  <c r="K79" i="7" s="1"/>
  <c r="J78" i="7"/>
  <c r="K78" i="7" s="1"/>
  <c r="J77" i="7"/>
  <c r="K77" i="7" s="1"/>
  <c r="K76" i="7"/>
  <c r="J76" i="7"/>
  <c r="J75" i="7"/>
  <c r="K75" i="7" s="1"/>
  <c r="J74" i="7"/>
  <c r="K74" i="7" s="1"/>
  <c r="J73" i="7"/>
  <c r="K73" i="7" s="1"/>
  <c r="K72" i="7"/>
  <c r="J72" i="7"/>
  <c r="J71" i="7"/>
  <c r="K71" i="7" s="1"/>
  <c r="J70" i="7"/>
  <c r="K70" i="7" s="1"/>
  <c r="J69" i="7"/>
  <c r="K69" i="7" s="1"/>
  <c r="K68" i="7"/>
  <c r="J68" i="7"/>
  <c r="J67" i="7"/>
  <c r="K67" i="7" s="1"/>
  <c r="J66" i="7"/>
  <c r="K66" i="7" s="1"/>
  <c r="J65" i="7"/>
  <c r="K65" i="7" s="1"/>
  <c r="K64" i="7"/>
  <c r="J64" i="7"/>
  <c r="J63" i="7"/>
  <c r="K63" i="7" s="1"/>
  <c r="J62" i="7"/>
  <c r="K62" i="7" s="1"/>
  <c r="J61" i="7"/>
  <c r="K61" i="7" s="1"/>
  <c r="K60" i="7"/>
  <c r="J60" i="7"/>
  <c r="J59" i="7"/>
  <c r="K59" i="7" s="1"/>
  <c r="J58" i="7"/>
  <c r="K58" i="7" s="1"/>
  <c r="J57" i="7"/>
  <c r="K57" i="7" s="1"/>
  <c r="K56" i="7"/>
  <c r="J56" i="7"/>
  <c r="J55" i="7"/>
  <c r="K55" i="7" s="1"/>
  <c r="J54" i="7"/>
  <c r="K54" i="7" s="1"/>
  <c r="J53" i="7"/>
  <c r="K53" i="7" s="1"/>
  <c r="K52" i="7"/>
  <c r="J52" i="7"/>
  <c r="J51" i="7"/>
  <c r="K51" i="7" s="1"/>
  <c r="J50" i="7"/>
  <c r="K50" i="7" s="1"/>
  <c r="J49" i="7"/>
  <c r="K49" i="7" s="1"/>
  <c r="K48" i="7"/>
  <c r="J48" i="7"/>
  <c r="J47" i="7"/>
  <c r="K47" i="7" s="1"/>
  <c r="J46" i="7"/>
  <c r="K46" i="7" s="1"/>
  <c r="J45" i="7"/>
  <c r="K45" i="7" s="1"/>
  <c r="K44" i="7"/>
  <c r="J44" i="7"/>
  <c r="J43" i="7"/>
  <c r="K43" i="7" s="1"/>
  <c r="J42" i="7"/>
  <c r="K42" i="7" s="1"/>
  <c r="J41" i="7"/>
  <c r="K41" i="7" s="1"/>
  <c r="K40" i="7"/>
  <c r="J40" i="7"/>
  <c r="J39" i="7"/>
  <c r="K39" i="7" s="1"/>
  <c r="J38" i="7"/>
  <c r="K38" i="7" s="1"/>
  <c r="J37" i="7"/>
  <c r="K37" i="7" s="1"/>
  <c r="K36" i="7"/>
  <c r="J36" i="7"/>
  <c r="J35" i="7"/>
  <c r="K35" i="7" s="1"/>
  <c r="J34" i="7"/>
  <c r="K34" i="7" s="1"/>
  <c r="J33" i="7"/>
  <c r="K33" i="7" s="1"/>
  <c r="K32" i="7"/>
  <c r="J32" i="7"/>
  <c r="J31" i="7"/>
  <c r="K31" i="7" s="1"/>
  <c r="J30" i="7"/>
  <c r="K30" i="7" s="1"/>
  <c r="J29" i="7"/>
  <c r="K29" i="7" s="1"/>
  <c r="K28" i="7"/>
  <c r="J28" i="7"/>
  <c r="J27" i="7"/>
  <c r="K27" i="7" s="1"/>
  <c r="J26" i="7"/>
  <c r="K26" i="7" s="1"/>
  <c r="J25" i="7"/>
  <c r="K25" i="7" s="1"/>
  <c r="K24" i="7"/>
  <c r="J24" i="7"/>
  <c r="J23" i="7"/>
  <c r="K23" i="7" s="1"/>
  <c r="J22" i="7"/>
  <c r="K22" i="7" s="1"/>
  <c r="J21" i="7"/>
  <c r="K21" i="7" s="1"/>
  <c r="K20" i="7"/>
  <c r="J20" i="7"/>
  <c r="J19" i="7"/>
  <c r="K19" i="7" s="1"/>
  <c r="J18" i="7"/>
  <c r="K18" i="7" s="1"/>
  <c r="J17" i="7"/>
  <c r="K17" i="7" s="1"/>
  <c r="K16" i="7"/>
  <c r="J16" i="7"/>
  <c r="J15" i="7"/>
  <c r="K15" i="7" s="1"/>
  <c r="J14" i="7"/>
  <c r="K14" i="7" s="1"/>
  <c r="J13" i="7"/>
  <c r="K13" i="7" s="1"/>
  <c r="K12" i="7"/>
  <c r="J12" i="7"/>
  <c r="J11" i="7"/>
  <c r="K11" i="7" s="1"/>
  <c r="J10" i="7"/>
  <c r="K10" i="7" s="1"/>
  <c r="J9" i="7"/>
  <c r="K9" i="7" s="1"/>
  <c r="K8" i="7"/>
  <c r="J8" i="7"/>
  <c r="J7" i="7"/>
  <c r="K7" i="7" s="1"/>
  <c r="J6" i="7"/>
  <c r="K6" i="7" s="1"/>
  <c r="J5" i="7"/>
  <c r="K5" i="7" s="1"/>
  <c r="K4" i="7"/>
  <c r="J4" i="7"/>
  <c r="J3" i="7"/>
  <c r="K3" i="7" s="1"/>
  <c r="J2" i="7"/>
  <c r="K2" i="7" s="1"/>
  <c r="J101" i="6"/>
  <c r="K101" i="6" s="1"/>
  <c r="J100" i="6"/>
  <c r="K100" i="6" s="1"/>
  <c r="J99" i="6"/>
  <c r="K99" i="6" s="1"/>
  <c r="J98" i="6"/>
  <c r="K98" i="6" s="1"/>
  <c r="J97" i="6"/>
  <c r="K97" i="6" s="1"/>
  <c r="J96" i="6"/>
  <c r="K96" i="6" s="1"/>
  <c r="J95" i="6"/>
  <c r="K95" i="6" s="1"/>
  <c r="J94" i="6"/>
  <c r="K94" i="6" s="1"/>
  <c r="J93" i="6"/>
  <c r="K93" i="6" s="1"/>
  <c r="J92" i="6"/>
  <c r="K92" i="6" s="1"/>
  <c r="J91" i="6"/>
  <c r="K91" i="6" s="1"/>
  <c r="J90" i="6"/>
  <c r="K90" i="6" s="1"/>
  <c r="J89" i="6"/>
  <c r="K89" i="6" s="1"/>
  <c r="J88" i="6"/>
  <c r="K88" i="6" s="1"/>
  <c r="J87" i="6"/>
  <c r="K87" i="6" s="1"/>
  <c r="J86" i="6"/>
  <c r="K86" i="6" s="1"/>
  <c r="J85" i="6"/>
  <c r="K85" i="6" s="1"/>
  <c r="J84" i="6"/>
  <c r="K84" i="6" s="1"/>
  <c r="J83" i="6"/>
  <c r="K83" i="6" s="1"/>
  <c r="J82" i="6"/>
  <c r="K82" i="6" s="1"/>
  <c r="J81" i="6"/>
  <c r="K81" i="6" s="1"/>
  <c r="J80" i="6"/>
  <c r="K80" i="6" s="1"/>
  <c r="J79" i="6"/>
  <c r="K79" i="6" s="1"/>
  <c r="J78" i="6"/>
  <c r="K78" i="6" s="1"/>
  <c r="J77" i="6"/>
  <c r="K77" i="6" s="1"/>
  <c r="J76" i="6"/>
  <c r="K76" i="6" s="1"/>
  <c r="J75" i="6"/>
  <c r="K75" i="6" s="1"/>
  <c r="J74" i="6"/>
  <c r="K74" i="6" s="1"/>
  <c r="J73" i="6"/>
  <c r="K73" i="6" s="1"/>
  <c r="J72" i="6"/>
  <c r="K72" i="6" s="1"/>
  <c r="J71" i="6"/>
  <c r="K71" i="6" s="1"/>
  <c r="J70" i="6"/>
  <c r="K70" i="6" s="1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J60" i="6"/>
  <c r="K60" i="6" s="1"/>
  <c r="J59" i="6"/>
  <c r="K59" i="6" s="1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J2" i="6"/>
  <c r="K2" i="6" s="1"/>
  <c r="D27" i="5"/>
  <c r="D25" i="5"/>
  <c r="D24" i="5"/>
  <c r="D22" i="5"/>
  <c r="D21" i="5"/>
  <c r="D18" i="5"/>
  <c r="D17" i="5"/>
  <c r="D16" i="5"/>
  <c r="D10" i="5"/>
  <c r="D9" i="5"/>
  <c r="D8" i="5"/>
  <c r="D7" i="5"/>
  <c r="D6" i="5"/>
  <c r="D5" i="5"/>
  <c r="D4" i="5"/>
  <c r="D3" i="5"/>
  <c r="J101" i="2"/>
  <c r="K101" i="2" s="1"/>
  <c r="J100" i="2"/>
  <c r="K100" i="2" s="1"/>
  <c r="K99" i="2"/>
  <c r="J99" i="2"/>
  <c r="J98" i="2"/>
  <c r="K98" i="2" s="1"/>
  <c r="J97" i="2"/>
  <c r="K97" i="2" s="1"/>
  <c r="J96" i="2"/>
  <c r="K96" i="2" s="1"/>
  <c r="K95" i="2"/>
  <c r="J95" i="2"/>
  <c r="J94" i="2"/>
  <c r="K94" i="2" s="1"/>
  <c r="J93" i="2"/>
  <c r="K93" i="2" s="1"/>
  <c r="J92" i="2"/>
  <c r="K92" i="2" s="1"/>
  <c r="K91" i="2"/>
  <c r="J91" i="2"/>
  <c r="J90" i="2"/>
  <c r="K90" i="2" s="1"/>
  <c r="J89" i="2"/>
  <c r="K89" i="2" s="1"/>
  <c r="J88" i="2"/>
  <c r="K88" i="2" s="1"/>
  <c r="K87" i="2"/>
  <c r="J87" i="2"/>
  <c r="J86" i="2"/>
  <c r="K86" i="2" s="1"/>
  <c r="J85" i="2"/>
  <c r="K85" i="2" s="1"/>
  <c r="J84" i="2"/>
  <c r="K84" i="2" s="1"/>
  <c r="K83" i="2"/>
  <c r="J83" i="2"/>
  <c r="J82" i="2"/>
  <c r="K82" i="2" s="1"/>
  <c r="J81" i="2"/>
  <c r="K81" i="2" s="1"/>
  <c r="J80" i="2"/>
  <c r="K80" i="2" s="1"/>
  <c r="K79" i="2"/>
  <c r="J79" i="2"/>
  <c r="J78" i="2"/>
  <c r="K78" i="2" s="1"/>
  <c r="J77" i="2"/>
  <c r="K77" i="2" s="1"/>
  <c r="J76" i="2"/>
  <c r="K76" i="2" s="1"/>
  <c r="K75" i="2"/>
  <c r="J75" i="2"/>
  <c r="J74" i="2"/>
  <c r="K74" i="2" s="1"/>
  <c r="J73" i="2"/>
  <c r="K73" i="2" s="1"/>
  <c r="J72" i="2"/>
  <c r="K72" i="2" s="1"/>
  <c r="K71" i="2"/>
  <c r="J71" i="2"/>
  <c r="J70" i="2"/>
  <c r="K70" i="2" s="1"/>
  <c r="J69" i="2"/>
  <c r="K69" i="2" s="1"/>
  <c r="J68" i="2"/>
  <c r="K68" i="2" s="1"/>
  <c r="K67" i="2"/>
  <c r="J67" i="2"/>
  <c r="J66" i="2"/>
  <c r="K66" i="2" s="1"/>
  <c r="J65" i="2"/>
  <c r="K65" i="2" s="1"/>
  <c r="J64" i="2"/>
  <c r="K64" i="2" s="1"/>
  <c r="K63" i="2"/>
  <c r="J63" i="2"/>
  <c r="J62" i="2"/>
  <c r="K62" i="2" s="1"/>
  <c r="J61" i="2"/>
  <c r="K61" i="2" s="1"/>
  <c r="J60" i="2"/>
  <c r="K60" i="2" s="1"/>
  <c r="K59" i="2"/>
  <c r="J59" i="2"/>
  <c r="J58" i="2"/>
  <c r="K58" i="2" s="1"/>
  <c r="J57" i="2"/>
  <c r="K57" i="2" s="1"/>
  <c r="J56" i="2"/>
  <c r="K56" i="2" s="1"/>
  <c r="K55" i="2"/>
  <c r="J55" i="2"/>
  <c r="J54" i="2"/>
  <c r="K54" i="2" s="1"/>
  <c r="J53" i="2"/>
  <c r="K53" i="2" s="1"/>
  <c r="J52" i="2"/>
  <c r="K52" i="2" s="1"/>
  <c r="K51" i="2"/>
  <c r="J51" i="2"/>
  <c r="J50" i="2"/>
  <c r="K50" i="2" s="1"/>
  <c r="J49" i="2"/>
  <c r="K49" i="2" s="1"/>
  <c r="J48" i="2"/>
  <c r="K48" i="2" s="1"/>
  <c r="K47" i="2"/>
  <c r="J47" i="2"/>
  <c r="J46" i="2"/>
  <c r="K46" i="2" s="1"/>
  <c r="J45" i="2"/>
  <c r="K45" i="2" s="1"/>
  <c r="J44" i="2"/>
  <c r="K44" i="2" s="1"/>
  <c r="K43" i="2"/>
  <c r="J43" i="2"/>
  <c r="J42" i="2"/>
  <c r="K42" i="2" s="1"/>
  <c r="J41" i="2"/>
  <c r="K41" i="2" s="1"/>
  <c r="J40" i="2"/>
  <c r="K40" i="2" s="1"/>
  <c r="K39" i="2"/>
  <c r="J39" i="2"/>
  <c r="D13" i="5" s="1"/>
  <c r="J38" i="2"/>
  <c r="K38" i="2" s="1"/>
  <c r="J37" i="2"/>
  <c r="K37" i="2" s="1"/>
  <c r="J36" i="2"/>
  <c r="K36" i="2" s="1"/>
  <c r="K35" i="2"/>
  <c r="J35" i="2"/>
  <c r="J34" i="2"/>
  <c r="K34" i="2" s="1"/>
  <c r="J33" i="2"/>
  <c r="K33" i="2" s="1"/>
  <c r="J32" i="2"/>
  <c r="K32" i="2" s="1"/>
  <c r="K31" i="2"/>
  <c r="J31" i="2"/>
  <c r="J30" i="2"/>
  <c r="K30" i="2" s="1"/>
  <c r="J29" i="2"/>
  <c r="K29" i="2" s="1"/>
  <c r="J28" i="2"/>
  <c r="K28" i="2" s="1"/>
  <c r="K27" i="2"/>
  <c r="J27" i="2"/>
  <c r="J26" i="2"/>
  <c r="K26" i="2" s="1"/>
  <c r="J25" i="2"/>
  <c r="K25" i="2" s="1"/>
  <c r="J24" i="2"/>
  <c r="D19" i="5" s="1"/>
  <c r="K23" i="2"/>
  <c r="J23" i="2"/>
  <c r="J22" i="2"/>
  <c r="K22" i="2" s="1"/>
  <c r="J21" i="2"/>
  <c r="K21" i="2" s="1"/>
  <c r="J20" i="2"/>
  <c r="K20" i="2" s="1"/>
  <c r="K19" i="2"/>
  <c r="J19" i="2"/>
  <c r="J18" i="2"/>
  <c r="K18" i="2" s="1"/>
  <c r="J17" i="2"/>
  <c r="K17" i="2" s="1"/>
  <c r="J16" i="2"/>
  <c r="K16" i="2" s="1"/>
  <c r="K15" i="2"/>
  <c r="J15" i="2"/>
  <c r="J14" i="2"/>
  <c r="K14" i="2" s="1"/>
  <c r="D20" i="5" s="1"/>
  <c r="J13" i="2"/>
  <c r="K13" i="2" s="1"/>
  <c r="J12" i="2"/>
  <c r="K12" i="2" s="1"/>
  <c r="K11" i="2"/>
  <c r="J11" i="2"/>
  <c r="J10" i="2"/>
  <c r="K10" i="2" s="1"/>
  <c r="J9" i="2"/>
  <c r="D29" i="5" s="1"/>
  <c r="J8" i="2"/>
  <c r="K8" i="2" s="1"/>
  <c r="K7" i="2"/>
  <c r="J7" i="2"/>
  <c r="J6" i="2"/>
  <c r="K6" i="2" s="1"/>
  <c r="J5" i="2"/>
  <c r="K5" i="2" s="1"/>
  <c r="J4" i="2"/>
  <c r="K4" i="2" s="1"/>
  <c r="K3" i="2"/>
  <c r="J3" i="2"/>
  <c r="J2" i="2"/>
  <c r="D11" i="5" s="1"/>
  <c r="E13" i="3"/>
  <c r="E7" i="3"/>
  <c r="E15" i="3"/>
  <c r="E16" i="3"/>
  <c r="E11" i="3"/>
  <c r="E28" i="3"/>
  <c r="E27" i="3"/>
  <c r="E29" i="3"/>
  <c r="E18" i="3"/>
  <c r="E26" i="3"/>
  <c r="E19" i="3"/>
  <c r="E2" i="3"/>
  <c r="E21" i="3"/>
  <c r="E6" i="3"/>
  <c r="E17" i="3"/>
  <c r="E9" i="3"/>
  <c r="E10" i="3"/>
  <c r="E23" i="3"/>
  <c r="E24" i="3"/>
  <c r="E22" i="3"/>
  <c r="E8" i="3"/>
  <c r="E14" i="3"/>
  <c r="E25" i="3"/>
  <c r="E3" i="3"/>
  <c r="E20" i="3"/>
  <c r="E5" i="3"/>
  <c r="E4" i="3"/>
  <c r="E12" i="3"/>
  <c r="D9" i="3" l="1" a="1"/>
  <c r="D9" i="3" s="1"/>
  <c r="D15" i="5"/>
  <c r="D14" i="5"/>
  <c r="K24" i="2"/>
  <c r="D23" i="5"/>
  <c r="D26" i="5"/>
  <c r="D2" i="5"/>
  <c r="K2" i="2"/>
  <c r="K9" i="2"/>
  <c r="D28" i="5" l="1"/>
  <c r="D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<sst xmlns="http://schemas.openxmlformats.org/spreadsheetml/2006/main" count="1988" uniqueCount="231">
  <si>
    <t>Excel Analytics Practice Assignment</t>
  </si>
  <si>
    <t>Topics Covered</t>
  </si>
  <si>
    <t>•  Conditional Formatting (Highlight Rules, Data Bars, Color Scales, Icon Sets, Duplicates)</t>
  </si>
  <si>
    <t>•  IF (single condition)</t>
  </si>
  <si>
    <t>•  Nested IF (multiple conditions)</t>
  </si>
  <si>
    <t>•  IFS (multiple conditions, cleaner syntax)</t>
  </si>
  <si>
    <t>•  SUMIF / SUMIFS</t>
  </si>
  <si>
    <t>•  AVERAGEIF / AVERAGEIFS</t>
  </si>
  <si>
    <t>•  COUNTIF / COUNTIFS</t>
  </si>
  <si>
    <t>•  MINIFS / MAXIFS</t>
  </si>
  <si>
    <t>Instructions for Students</t>
  </si>
  <si>
    <t>1. All questions use the dataset in the 'Sales_Data' sheet. Do not change the raw data.</t>
  </si>
  <si>
    <t>2. Go to the 'Assignment_Questions' sheet and 'Conditional_Formatting_Tasks' sheet to see your tasks.</t>
  </si>
  <si>
    <t>3. Type your formula/answer directly into the yellow 'Your Answer' cell next to each question.</t>
  </si>
  <si>
    <t>4. For Conditional Formatting tasks, apply the formatting directly on a COPY of the Sales_Data sheet (right-click the sheet tab &gt; Move or Copy &gt; Create a copy) named 'Sales_Data_Formatted'.</t>
  </si>
  <si>
    <t>5. Use cell references in your formulas wherever possible instead of typing raw numbers.</t>
  </si>
  <si>
    <t>6. Do not hardcode answers — your formula should recalculate correctly if the data changes.</t>
  </si>
  <si>
    <t>7. Save the file with your name before submitting, e.g. AnalyticsAssignment_YourName.xlsx</t>
  </si>
  <si>
    <t>Dataset Column Reference (Sales_Data sheet)</t>
  </si>
  <si>
    <t>A: OrderID | B: OrderDate | C: Region | D: Category | E: Product | F: SalesRep</t>
  </si>
  <si>
    <t>G: Units | H: UnitPrice | I: Discount% | J: Sales | K: Profit | L: CustomerType | M: Rating(1-5)</t>
  </si>
  <si>
    <t>OrderID</t>
  </si>
  <si>
    <t>OrderDate</t>
  </si>
  <si>
    <t>Region</t>
  </si>
  <si>
    <t>Category</t>
  </si>
  <si>
    <t>Product</t>
  </si>
  <si>
    <t>SalesRep</t>
  </si>
  <si>
    <t>Units</t>
  </si>
  <si>
    <t>UnitPrice</t>
  </si>
  <si>
    <t>Discount%</t>
  </si>
  <si>
    <t>Sales</t>
  </si>
  <si>
    <t>Profit</t>
  </si>
  <si>
    <t>CustomerType</t>
  </si>
  <si>
    <t>Rating</t>
  </si>
  <si>
    <t>ORD1001</t>
  </si>
  <si>
    <t>North</t>
  </si>
  <si>
    <t>Electronics</t>
  </si>
  <si>
    <t>Headphones</t>
  </si>
  <si>
    <t>Karan</t>
  </si>
  <si>
    <t>Retail</t>
  </si>
  <si>
    <t>ORD1002</t>
  </si>
  <si>
    <t>Furniture</t>
  </si>
  <si>
    <t>Study Table</t>
  </si>
  <si>
    <t>Ananya</t>
  </si>
  <si>
    <t>Wholesale</t>
  </si>
  <si>
    <t>ORD1003</t>
  </si>
  <si>
    <t>Sofa</t>
  </si>
  <si>
    <t>Vikram</t>
  </si>
  <si>
    <t>ORD1004</t>
  </si>
  <si>
    <t>East</t>
  </si>
  <si>
    <t>Clothing</t>
  </si>
  <si>
    <t>Cap</t>
  </si>
  <si>
    <t>Sneha</t>
  </si>
  <si>
    <t>ORD1005</t>
  </si>
  <si>
    <t>Stationery</t>
  </si>
  <si>
    <t>Pen Set</t>
  </si>
  <si>
    <t>Rohit</t>
  </si>
  <si>
    <t>ORD1006</t>
  </si>
  <si>
    <t>West</t>
  </si>
  <si>
    <t>Shoes</t>
  </si>
  <si>
    <t>ORD1007</t>
  </si>
  <si>
    <t>South</t>
  </si>
  <si>
    <t>Meera</t>
  </si>
  <si>
    <t>ORD1008</t>
  </si>
  <si>
    <t>ORD1009</t>
  </si>
  <si>
    <t>Bookshelf</t>
  </si>
  <si>
    <t>Priya</t>
  </si>
  <si>
    <t>ORD1010</t>
  </si>
  <si>
    <t>Jeans</t>
  </si>
  <si>
    <t>ORD1011</t>
  </si>
  <si>
    <t>Notebook</t>
  </si>
  <si>
    <t>ORD1012</t>
  </si>
  <si>
    <t>Backpack</t>
  </si>
  <si>
    <t>ORD1013</t>
  </si>
  <si>
    <t>ORD1014</t>
  </si>
  <si>
    <t>Arjun</t>
  </si>
  <si>
    <t>ORD1015</t>
  </si>
  <si>
    <t>Tablet</t>
  </si>
  <si>
    <t>ORD1016</t>
  </si>
  <si>
    <t>Desk Organizer</t>
  </si>
  <si>
    <t>ORD1017</t>
  </si>
  <si>
    <t>Grocery</t>
  </si>
  <si>
    <t>Spices</t>
  </si>
  <si>
    <t>ORD1018</t>
  </si>
  <si>
    <t>Laptop</t>
  </si>
  <si>
    <t>ORD1019</t>
  </si>
  <si>
    <t>Bed Frame</t>
  </si>
  <si>
    <t>ORD1020</t>
  </si>
  <si>
    <t>ORD1021</t>
  </si>
  <si>
    <t>ORD1022</t>
  </si>
  <si>
    <t>ORD1023</t>
  </si>
  <si>
    <t>Beverages</t>
  </si>
  <si>
    <t>ORD1024</t>
  </si>
  <si>
    <t>Snack Pack</t>
  </si>
  <si>
    <t>ORD1025</t>
  </si>
  <si>
    <t>ORD1026</t>
  </si>
  <si>
    <t>Smartwatch</t>
  </si>
  <si>
    <t>ORD1027</t>
  </si>
  <si>
    <t>ORD1028</t>
  </si>
  <si>
    <t>ORD1029</t>
  </si>
  <si>
    <t>ORD1030</t>
  </si>
  <si>
    <t>ORD1031</t>
  </si>
  <si>
    <t>Jacket</t>
  </si>
  <si>
    <t>ORD1032</t>
  </si>
  <si>
    <t>ORD1033</t>
  </si>
  <si>
    <t>ORD1034</t>
  </si>
  <si>
    <t>Cooking Oil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</si>
  <si>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</si>
  <si>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</si>
  <si>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</si>
  <si>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</si>
  <si>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</si>
  <si>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</si>
  <si>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</si>
  <si>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</si>
  <si>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</si>
  <si>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</si>
  <si>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</si>
  <si>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Smartphone</t>
  </si>
  <si>
    <t>ORD1046</t>
  </si>
  <si>
    <t>ORD1047</t>
  </si>
  <si>
    <t>ORD1048</t>
  </si>
  <si>
    <t>ORD1049</t>
  </si>
  <si>
    <t>ORD1050</t>
  </si>
  <si>
    <t>ORD1051</t>
  </si>
  <si>
    <t>Office Chair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</si>
  <si>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</si>
  <si>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</si>
  <si>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</si>
  <si>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</si>
  <si>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</si>
  <si>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</si>
  <si>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</si>
  <si>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</si>
  <si>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</si>
  <si>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</si>
  <si>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</si>
  <si>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</si>
  <si>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</si>
  <si>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</si>
  <si>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</si>
  <si>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</si>
  <si>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</si>
  <si>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</si>
  <si>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</si>
  <si>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</si>
  <si>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</si>
  <si>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</si>
  <si>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</si>
  <si>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</si>
  <si>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</si>
  <si>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Rice Bag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</si>
  <si>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</si>
  <si>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</si>
  <si>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</si>
  <si>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</si>
  <si>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</si>
  <si>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</si>
  <si>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</si>
  <si>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</si>
  <si>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</si>
  <si>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</si>
  <si>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</si>
  <si>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</si>
  <si>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</si>
  <si>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Marker Pack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</si>
  <si>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</si>
  <si>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</si>
  <si>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</si>
  <si>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</si>
  <si>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</si>
  <si>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</si>
  <si>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</si>
  <si>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</si>
  <si>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</si>
  <si>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</si>
  <si>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T-Shirt</t>
  </si>
  <si>
    <t>ORD1100</t>
  </si>
  <si>
    <t>Q.No</t>
  </si>
  <si>
    <t>Topic</t>
  </si>
  <si>
    <t>Question</t>
  </si>
  <si>
    <t>Your Answer (type formula here)</t>
  </si>
  <si>
    <t>IF</t>
  </si>
  <si>
    <t>In cell F2 area (use your Answer column), write a formula that returns "High" if a single order's Sales (Sales_Data!J2) is greater than 20000, otherwise "Low".</t>
  </si>
  <si>
    <t>Write a formula that checks Sales_Data!M2 (Rating) and returns "Good" if the rating is 4 or above, otherwise "Needs Improvement".</t>
  </si>
  <si>
    <t>Write a formula that returns "Wholesale Deal" if Sales_Data!L2 equals "Wholesale", otherwise "Retail Deal".</t>
  </si>
  <si>
    <t>Nested IF</t>
  </si>
  <si>
    <t>Write a nested IF formula that classifies Sales_Data!J2 (Sales) into "Small" (&lt; 5000), "Medium" (5000 to 20000), or "Large" (&gt; 20000).</t>
  </si>
  <si>
    <t>Write a nested IF formula that grades Sales_Data!M2 (Rating) as "Excellent" (5), "Good" (3 or 4), or "Poor" (1 or 2).</t>
  </si>
  <si>
    <t>Write a nested IF formula that assigns a Discount Tier to Sales_Data!I2 (Discount%): "No Discount" (0), "Low" (up to 10%), "High" (above 10%).</t>
  </si>
  <si>
    <t>IFS</t>
  </si>
  <si>
    <t>Rewrite Question 4 (Sales classification into Small/Medium/Large) using the IFS function instead of nested IF.</t>
  </si>
  <si>
    <t>Using IFS, classify Sales_Data!G2 (Units) as "Bulk Order" (&gt;=15), "Standard Order" (5 to 14), or "Small Order" (&lt;5).</t>
  </si>
  <si>
    <t>Using IFS, return the Region-wise shift label for Sales_Data!C2: "North" -&gt; "Zone A", "South" -&gt; "Zone B", "East" -&gt; "Zone C", "West" -&gt; "Zone D".</t>
  </si>
  <si>
    <t>SUMIF</t>
  </si>
  <si>
    <t>Find the total Sales for the "Electronics" category using SUMIF.</t>
  </si>
  <si>
    <t>Find the total Profit for orders placed in the "North" region using SUMIF.</t>
  </si>
  <si>
    <t>Find the total Sales for all orders with Rating equal to 5 using SUMIF.</t>
  </si>
  <si>
    <t>SUMIFS</t>
  </si>
  <si>
    <t>Find the total Sales for the "Electronics" category in the "North" region using SUMIFS.</t>
  </si>
  <si>
    <t>Find the total Profit for "Wholesale" customers with Sales greater than 10000, using SUMIFS.</t>
  </si>
  <si>
    <t>Find total Sales for orders from SalesRep "Ananya" in the "Clothing" category with a Discount% greater than 0, using SUMIFS.</t>
  </si>
  <si>
    <t>AVERAGEIF</t>
  </si>
  <si>
    <t>Find the average UnitPrice for the "Furniture" category using AVERAGEIF.</t>
  </si>
  <si>
    <t>Find the average Rating for orders from the "West" region using AVERAGEIF.</t>
  </si>
  <si>
    <t>AVERAGEIFS</t>
  </si>
  <si>
    <t>Find the average Sales for "Retail" customers in the "Grocery" category using AVERAGEIFS.</t>
  </si>
  <si>
    <t>Find the average Profit for orders in the "South" region with Units greater than 10, using AVERAGEIFS.</t>
  </si>
  <si>
    <t>COUNTIF</t>
  </si>
  <si>
    <t>Count how many orders belong to the "Stationery" category using COUNTIF.</t>
  </si>
  <si>
    <t>Count how many orders have a Rating of 5 using COUNTIF.</t>
  </si>
  <si>
    <t>Count how many orders have Sales greater than 15000 using COUNTIF.</t>
  </si>
  <si>
    <t>COUNTIFS</t>
  </si>
  <si>
    <t>Count how many "Wholesale" orders came from the "East" region using COUNTIFS.</t>
  </si>
  <si>
    <t>Count how many orders in the "Electronics" category have a Discount% greater than 10%, using COUNTIFS.</t>
  </si>
  <si>
    <t>MINIFS</t>
  </si>
  <si>
    <t>Find the minimum Sales value for the "Clothing" category using MINIFS.</t>
  </si>
  <si>
    <t>Find the minimum UnitPrice among orders from the "North" region using MINIFS.</t>
  </si>
  <si>
    <t>MAXIFS</t>
  </si>
  <si>
    <t>Find the maximum Profit for the "Electronics" category using MAXIFS.</t>
  </si>
  <si>
    <t>Find the maximum Sales value among "Wholesale" customers in the "South" region, using MAXIFS.</t>
  </si>
  <si>
    <t>Conditional Formatting Tasks</t>
  </si>
  <si>
    <t>Perform these tasks on a COPY of the Sales_Data sheet. Right-click the 'Sales_Data' tab, choose 'Move or Copy', tick 'Create a copy', and rename it 'Sales_Data_Formatted'. Apply each rule below using Home &gt; Conditional Formatting.</t>
  </si>
  <si>
    <t>Highlight the Sales column (J) in GREEN if the value is greater than 20000, and in RED if less than 5000.</t>
  </si>
  <si>
    <t>Apply a Data Bar to the Profit column (K) so you can visually compare profit across all orders.</t>
  </si>
  <si>
    <t>Apply a 3-Color Scale to the Rating column (M) so low ratings appear red and high ratings appear green.</t>
  </si>
  <si>
    <t>Use an Icon Set (3 arrows) on the Discount% column (I) to show low, medium, and high discounts.</t>
  </si>
  <si>
    <t>Highlight duplicate values in the Product column (E) using 'Highlight Cell Rules &gt; Duplicate Values'.</t>
  </si>
  <si>
    <t>Highlight the entire row in light yellow wherever CustomerType (L) = "Wholesale", using a formula-based rule (e.g. =$L2="Wholesale").</t>
  </si>
  <si>
    <t>Highlight the OrderDate cell (B) in orange for any order placed in the month of December.</t>
  </si>
  <si>
    <t>Model Answer /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</si>
</sst>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3"/>
      <color rgb="FF1F3864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b/>
      <sz val="14"/>
      <color rgb="FFFFFFFF"/>
      <name val="Calibri"/>
      <charset val="1"/>
    </font>
    <font>
      <i/>
      <sz val="10"/>
      <name val="Calibri"/>
      <charset val="1"/>
    </font>
    <font>
      <b/>
      <sz val="10"/>
      <color rgb="FF37562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9" fontId="5" fillId="0" borderId="1" xfId="0" applyNumberFormat="1" applyFont="1" applyBorder="1"/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10" fillId="6" borderId="1" xfId="0" applyFont="1" applyFill="1" applyBorder="1"/>
    <xf numFmtId="0" fontId="5" fillId="4" borderId="1" xfId="0" quotePrefix="1" applyFont="1" applyFill="1" applyBorder="1"/>
    <xf numFmtId="0" fontId="5" fillId="4" borderId="1" xfId="0" quotePrefix="1" applyFont="1" applyFill="1" applyBorder="1" applyAlignment="1">
      <alignment wrapText="1"/>
    </xf>
    <xf numFmtId="0" fontId="1" fillId="2" borderId="0" xfId="0" applyFont="1" applyFill="1"/>
    <xf numFmtId="0" fontId="8" fillId="2" borderId="0" xfId="0" applyFont="1" applyFill="1"/>
    <xf numFmtId="0" fontId="9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>
          <bgColor rgb="FFFFFFCC"/>
        </patternFill>
      </fill>
    </dxf>
    <dxf>
      <fill>
        <patternFill>
          <bgColor theme="6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2B31-4747-46C2-94D9-5F45634BE9BC}">
  <dimension ref="A1:M101"/>
  <sheetViews>
    <sheetView zoomScale="73" zoomScaleNormal="100" workbookViewId="0">
      <pane ySplit="1" topLeftCell="A2" activePane="bottomLeft" state="frozen"/>
      <selection pane="bottomLeft" activeCell="G15" sqref="G15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1.453125" customWidth="1"/>
    <col min="10" max="10" width="13" customWidth="1"/>
    <col min="11" max="11" width="12" customWidth="1"/>
    <col min="12" max="12" width="13" customWidth="1"/>
    <col min="13" max="13" width="8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65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si="0"/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0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0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0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0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0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0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0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0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0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0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0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0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0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0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0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0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0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0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0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0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0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0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0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0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0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0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0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0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0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0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0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101" si="1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1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1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1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1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1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1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1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1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1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1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1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1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1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1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1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1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1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1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1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1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1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1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1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1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1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1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1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1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1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1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1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si="1"/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1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1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1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conditionalFormatting sqref="B2:B101">
    <cfRule type="expression" dxfId="5" priority="1">
      <formula>MONTH(B2)=12</formula>
    </cfRule>
    <cfRule type="expression" dxfId="4" priority="2">
      <formula>MONTH(B2)=12</formula>
    </cfRule>
    <cfRule type="expression" priority="3">
      <formula>MONTH(B2)=12</formula>
    </cfRule>
  </conditionalFormatting>
  <conditionalFormatting sqref="E2:E101">
    <cfRule type="duplicateValues" dxfId="3" priority="4"/>
  </conditionalFormatting>
  <conditionalFormatting sqref="I2:I10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J2:J101">
    <cfRule type="cellIs" dxfId="2" priority="9" operator="lessThan">
      <formula>5000</formula>
    </cfRule>
    <cfRule type="cellIs" dxfId="1" priority="10" operator="greaterThan">
      <formula>20000</formula>
    </cfRule>
  </conditionalFormatting>
  <conditionalFormatting sqref="K2:K10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{F336295A-2DB5-488E-9648-38E0E23054EE}</x14:id>
        </ext>
      </extLst>
    </cfRule>
  </conditionalFormatting>
  <conditionalFormatting sqref="M2:M10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36295A-2DB5-488E-9648-38E0E2305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28B2-24BE-4A69-9326-562B8005FF42}">
  <dimension ref="A1:M101"/>
  <sheetViews>
    <sheetView zoomScale="85" zoomScaleNormal="85" workbookViewId="0">
      <pane ySplit="1" topLeftCell="A2" activePane="bottomLeft" state="frozen"/>
      <selection pane="bottomLeft" activeCell="L2" sqref="L2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0" customWidth="1"/>
    <col min="10" max="10" width="13" customWidth="1"/>
    <col min="11" max="11" width="12" customWidth="1"/>
    <col min="12" max="12" width="13" customWidth="1"/>
    <col min="13" max="13" width="8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65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si="0"/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0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0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0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0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0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0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0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0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0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0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0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0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0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0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0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0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0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0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0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0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0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0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0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0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0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0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0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0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0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0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0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101" si="1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1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1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1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1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1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1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1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1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1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1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1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1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1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1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1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1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1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1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1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1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1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1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1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1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1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1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1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1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1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1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1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si="1"/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1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1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1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conditionalFormatting sqref="A2:M102">
    <cfRule type="expression" dxfId="0" priority="1">
      <formula>$L2="Wholesale"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zoomScaleNormal="100" workbookViewId="0">
      <selection activeCell="B7" sqref="B7"/>
    </sheetView>
  </sheetViews>
  <sheetFormatPr defaultColWidth="8.6328125" defaultRowHeight="14.5" x14ac:dyDescent="0.35"/>
  <cols>
    <col min="1" max="1" width="3" customWidth="1"/>
    <col min="2" max="2" width="100" customWidth="1"/>
  </cols>
  <sheetData>
    <row r="2" spans="2:2" ht="30" customHeight="1" x14ac:dyDescent="0.35">
      <c r="B2" s="20" t="s">
        <v>0</v>
      </c>
    </row>
    <row r="3" spans="2:2" x14ac:dyDescent="0.35">
      <c r="B3" s="20"/>
    </row>
    <row r="5" spans="2:2" ht="17" x14ac:dyDescent="0.4">
      <c r="B5" s="1" t="s">
        <v>1</v>
      </c>
    </row>
    <row r="6" spans="2:2" x14ac:dyDescent="0.35">
      <c r="B6" s="2" t="s">
        <v>2</v>
      </c>
    </row>
    <row r="7" spans="2:2" x14ac:dyDescent="0.35">
      <c r="B7" s="2" t="s">
        <v>3</v>
      </c>
    </row>
    <row r="8" spans="2:2" x14ac:dyDescent="0.35">
      <c r="B8" s="2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 t="s">
        <v>9</v>
      </c>
    </row>
    <row r="15" spans="2:2" ht="17" x14ac:dyDescent="0.4">
      <c r="B15" s="1" t="s">
        <v>10</v>
      </c>
    </row>
    <row r="16" spans="2:2" x14ac:dyDescent="0.35">
      <c r="B16" s="3" t="s">
        <v>11</v>
      </c>
    </row>
    <row r="17" spans="2:2" x14ac:dyDescent="0.35">
      <c r="B17" s="3" t="s">
        <v>12</v>
      </c>
    </row>
    <row r="18" spans="2:2" x14ac:dyDescent="0.35">
      <c r="B18" s="3" t="s">
        <v>13</v>
      </c>
    </row>
    <row r="19" spans="2:2" ht="29" x14ac:dyDescent="0.35">
      <c r="B19" s="3" t="s">
        <v>14</v>
      </c>
    </row>
    <row r="20" spans="2:2" x14ac:dyDescent="0.35">
      <c r="B20" s="3" t="s">
        <v>15</v>
      </c>
    </row>
    <row r="21" spans="2:2" x14ac:dyDescent="0.35">
      <c r="B21" s="3" t="s">
        <v>16</v>
      </c>
    </row>
    <row r="22" spans="2:2" x14ac:dyDescent="0.35">
      <c r="B22" s="3" t="s">
        <v>17</v>
      </c>
    </row>
    <row r="24" spans="2:2" ht="17" x14ac:dyDescent="0.4">
      <c r="B24" s="1" t="s">
        <v>18</v>
      </c>
    </row>
    <row r="25" spans="2:2" x14ac:dyDescent="0.35">
      <c r="B25" s="4" t="s">
        <v>19</v>
      </c>
    </row>
    <row r="26" spans="2:2" x14ac:dyDescent="0.35">
      <c r="B26" s="4" t="s">
        <v>20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B1" zoomScaleNormal="100" workbookViewId="0">
      <pane ySplit="1" topLeftCell="A87" activePane="bottomLeft" state="frozen"/>
      <selection pane="bottomLeft" activeCell="D1" sqref="D1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4.36328125" customWidth="1"/>
    <col min="7" max="7" width="10.453125" customWidth="1"/>
    <col min="8" max="8" width="12" customWidth="1"/>
    <col min="9" max="9" width="10" customWidth="1"/>
    <col min="10" max="10" width="13" customWidth="1"/>
    <col min="11" max="11" width="12" customWidth="1"/>
    <col min="12" max="12" width="17.54296875" customWidth="1"/>
    <col min="13" max="13" width="11.08984375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33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ref="J34:J65" si="1">G34*H34*(1-I34)</f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1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1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1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1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1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1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1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1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1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1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1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1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1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1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1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1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1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1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1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1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1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1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1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1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1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1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1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1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1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1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1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97" si="2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2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2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2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2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2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2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2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2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2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2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2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2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2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2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2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2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2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2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2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2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2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2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2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2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2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2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2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2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2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2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2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ref="J98:J101" si="3">G98*H98*(1-I98)</f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3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3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3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zoomScale="60" zoomScaleNormal="85" workbookViewId="0">
      <pane ySplit="1" topLeftCell="A2" activePane="bottomLeft" state="frozen"/>
      <selection pane="bottomLeft" activeCell="E2" sqref="E2"/>
    </sheetView>
  </sheetViews>
  <sheetFormatPr defaultColWidth="8.6328125" defaultRowHeight="14.5" x14ac:dyDescent="0.35"/>
  <cols>
    <col min="1" max="1" width="6" customWidth="1"/>
    <col min="2" max="2" width="14" customWidth="1"/>
    <col min="3" max="3" width="75" customWidth="1"/>
    <col min="4" max="4" width="40" customWidth="1"/>
    <col min="5" max="5" width="127.08984375" customWidth="1"/>
  </cols>
  <sheetData>
    <row r="1" spans="1:5" ht="21.75" customHeight="1" x14ac:dyDescent="0.35">
      <c r="A1" s="10" t="s">
        <v>178</v>
      </c>
      <c r="B1" s="10" t="s">
        <v>179</v>
      </c>
      <c r="C1" s="10">
        <f>COUNTIFS(Sales_Data!L1:L101,"WHOLESALE")</f>
        <v>57</v>
      </c>
      <c r="D1" s="10" t="s">
        <v>181</v>
      </c>
    </row>
    <row r="2" spans="1:5" ht="33.75" customHeight="1" x14ac:dyDescent="0.35">
      <c r="A2" s="11">
        <v>1</v>
      </c>
      <c r="B2" s="12" t="s">
        <v>182</v>
      </c>
      <c r="C2" s="13" t="s">
        <v>183</v>
      </c>
      <c r="D2" s="18" t="str">
        <f>IF(J2&gt;=20000,"HIGH","LOW")</f>
        <v>LOW</v>
      </c>
      <c r="E2" t="str">
        <f ca="1">_xlfn.FORMULATEXT(D2)</f>
        <v>=IF(J2&gt;=20000,"HIGH","LOW")</v>
      </c>
    </row>
    <row r="3" spans="1:5" ht="33.75" customHeight="1" x14ac:dyDescent="0.35">
      <c r="A3" s="11">
        <v>2</v>
      </c>
      <c r="B3" s="12" t="s">
        <v>182</v>
      </c>
      <c r="C3" s="13" t="s">
        <v>184</v>
      </c>
      <c r="D3" s="18" t="str">
        <f>IF(M2&gt;=4,"GOOD","NEEDS IMPROVEMENT")</f>
        <v>NEEDS IMPROVEMENT</v>
      </c>
      <c r="E3" t="str">
        <f t="shared" ref="E3:E28" ca="1" si="0">_xlfn.FORMULATEXT(D3)</f>
        <v>=IF(M2&gt;=4,"GOOD","NEEDS IMPROVEMENT")</v>
      </c>
    </row>
    <row r="4" spans="1:5" ht="33.75" customHeight="1" x14ac:dyDescent="0.35">
      <c r="A4" s="11">
        <v>3</v>
      </c>
      <c r="B4" s="12" t="s">
        <v>182</v>
      </c>
      <c r="C4" s="13" t="s">
        <v>185</v>
      </c>
      <c r="D4" s="19" t="str">
        <f>IF(L2="WHOLESALE","WHOLESALE DEAL","RETAIL
DEAL")</f>
        <v>RETAIL
DEAL</v>
      </c>
      <c r="E4" t="str">
        <f t="shared" ca="1" si="0"/>
        <v>=IF(L2="WHOLESALE","WHOLESALE DEAL","RETAIL
DEAL")</v>
      </c>
    </row>
    <row r="5" spans="1:5" ht="33.75" customHeight="1" x14ac:dyDescent="0.35">
      <c r="A5" s="11">
        <v>4</v>
      </c>
      <c r="B5" s="12" t="s">
        <v>186</v>
      </c>
      <c r="C5" s="13" t="s">
        <v>187</v>
      </c>
      <c r="D5" s="19" t="str">
        <f>IF(J2&gt;2000,"LARGE",IF(J2&gt;5000,"MEDIUM","SMALL"))</f>
        <v>SMALL</v>
      </c>
      <c r="E5" t="str">
        <f t="shared" ca="1" si="0"/>
        <v>=IF(J2&gt;2000,"LARGE",IF(J2&gt;5000,"MEDIUM","SMALL"))</v>
      </c>
    </row>
    <row r="6" spans="1:5" ht="33.75" customHeight="1" x14ac:dyDescent="0.35">
      <c r="A6" s="11">
        <v>5</v>
      </c>
      <c r="B6" s="12" t="s">
        <v>186</v>
      </c>
      <c r="C6" s="13" t="s">
        <v>188</v>
      </c>
      <c r="D6" s="19" t="str">
        <f>IF(M2=5,"EXCELLENT",
IF(M2&gt;=3,"GOOD","POOR"))</f>
        <v>POOR</v>
      </c>
      <c r="E6" t="str">
        <f ca="1">_xlfn.FORMULATEXT(D6)</f>
        <v>=IF(M2=5,"EXCELLENT",
IF(M2&gt;=3,"GOOD","POOR"))</v>
      </c>
    </row>
    <row r="7" spans="1:5" ht="33.75" customHeight="1" x14ac:dyDescent="0.35">
      <c r="A7" s="11">
        <v>6</v>
      </c>
      <c r="B7" s="12" t="s">
        <v>186</v>
      </c>
      <c r="C7" s="13" t="s">
        <v>189</v>
      </c>
      <c r="D7" s="19" t="str">
        <f>IF(I2=0,"NO DISCOUNT",
IF(I2&lt;10%,"LOW","HIGH"))</f>
        <v>NO DISCOUNT</v>
      </c>
      <c r="E7" t="str">
        <f t="shared" ca="1" si="0"/>
        <v>=IF(I2=0,"NO DISCOUNT",
IF(I2&lt;10%,"LOW","HIGH"))</v>
      </c>
    </row>
    <row r="8" spans="1:5" ht="33.75" customHeight="1" x14ac:dyDescent="0.35">
      <c r="A8" s="11">
        <v>7</v>
      </c>
      <c r="B8" s="12" t="s">
        <v>190</v>
      </c>
      <c r="C8" s="13" t="s">
        <v>191</v>
      </c>
      <c r="D8" s="19" t="str" cm="1">
        <f t="array" ref="D8">_xlfn.IFS(J2&gt;20000,"LARGE",J2&gt;=5000,"MEDIUM",
J2&lt;5000,"SMALL")</f>
        <v>SMALL</v>
      </c>
      <c r="E8" t="str">
        <f ca="1">_xlfn.FORMULATEXT(D8)</f>
        <v>=IFS(J2&gt;20000,"LARGE",J2&gt;=5000,"MEDIUM",
J2&lt;5000,"SMALL")</v>
      </c>
    </row>
    <row r="9" spans="1:5" ht="33.75" customHeight="1" x14ac:dyDescent="0.35">
      <c r="A9" s="11">
        <v>8</v>
      </c>
      <c r="B9" s="12" t="s">
        <v>190</v>
      </c>
      <c r="C9" s="13" t="s">
        <v>192</v>
      </c>
      <c r="D9" s="19" t="str" cm="1">
        <f t="array" ref="D9">_xlfn.IFS(G2&gt;=15,"BULK ORDER",G2&gt;=5,"STANDARD 
ORDER",G2&lt;5,"SMALL ORDER")</f>
        <v>SMALL ORDER</v>
      </c>
      <c r="E9" t="str">
        <f t="shared" ca="1" si="0"/>
        <v>=IFS(G2&gt;=15,"BULK ORDER",G2&gt;=5,"STANDARD 
ORDER",G2&lt;5,"SMALL ORDER")</v>
      </c>
    </row>
    <row r="10" spans="1:5" ht="59" customHeight="1" x14ac:dyDescent="0.35">
      <c r="A10" s="11">
        <v>9</v>
      </c>
      <c r="B10" s="12" t="s">
        <v>190</v>
      </c>
      <c r="C10" s="13" t="s">
        <v>193</v>
      </c>
      <c r="D10" s="19" t="str" cm="1">
        <f t="array" ref="D10">_xlfn.IFS(Sales_Data!C2="NORTH","ZONE A",
Sales_Data!C2="SOUTH","ZONE B",
Sales_Data!C2="EAST","ZONE C",
Sales_Data!C2="WEST","ZONE  D")</f>
        <v>ZONE A</v>
      </c>
      <c r="E10" t="str">
        <f t="shared" ca="1" si="0"/>
        <v>=IFS(Sales_Data!C2="NORTH","ZONE A",
Sales_Data!C2="SOUTH","ZONE B",
Sales_Data!C2="EAST","ZONE C",
Sales_Data!C2="WEST","ZONE  D")</v>
      </c>
    </row>
    <row r="11" spans="1:5" ht="33.75" customHeight="1" x14ac:dyDescent="0.35">
      <c r="A11" s="11">
        <v>10</v>
      </c>
      <c r="B11" s="12" t="s">
        <v>194</v>
      </c>
      <c r="C11" s="13" t="s">
        <v>195</v>
      </c>
      <c r="D11" s="19">
        <f>SUMIF(Sales_Data!D1:D101,"ELECTRONICS",
Sales_Data!J1:J101)</f>
        <v>3660496.0115000005</v>
      </c>
      <c r="E11" t="str">
        <f t="shared" ca="1" si="0"/>
        <v>=SUMIF(Sales_Data!D1:D101,"ELECTRONICS",
Sales_Data!J1:J101)</v>
      </c>
    </row>
    <row r="12" spans="1:5" ht="33.75" customHeight="1" x14ac:dyDescent="0.35">
      <c r="A12" s="11">
        <v>11</v>
      </c>
      <c r="B12" s="12" t="s">
        <v>194</v>
      </c>
      <c r="C12" s="13" t="s">
        <v>196</v>
      </c>
      <c r="D12" s="19">
        <f>SUMIF(Sales_Data!C1:C101,"NORTH",
Sales_Data!K1:K101)</f>
        <v>498720.05</v>
      </c>
      <c r="E12" t="str">
        <f ca="1">_xlfn.FORMULATEXT(D12)</f>
        <v>=SUMIF(Sales_Data!C1:C101,"NORTH",
Sales_Data!K1:K101)</v>
      </c>
    </row>
    <row r="13" spans="1:5" ht="33.75" customHeight="1" x14ac:dyDescent="0.35">
      <c r="A13" s="11">
        <v>12</v>
      </c>
      <c r="B13" s="12" t="s">
        <v>194</v>
      </c>
      <c r="C13" s="13" t="s">
        <v>197</v>
      </c>
      <c r="D13" s="19">
        <f>SUMIF(Sales_Data!M1:M101,"5",Sales_Data!J1:J101)</f>
        <v>790492.61950000003</v>
      </c>
      <c r="E13" t="str">
        <f t="shared" ca="1" si="0"/>
        <v>=SUMIF(Sales_Data!M1:M101,"5",Sales_Data!J1:J101)</v>
      </c>
    </row>
    <row r="14" spans="1:5" ht="33.75" customHeight="1" x14ac:dyDescent="0.35">
      <c r="A14" s="11">
        <v>13</v>
      </c>
      <c r="B14" s="12" t="s">
        <v>198</v>
      </c>
      <c r="C14" s="13" t="s">
        <v>199</v>
      </c>
      <c r="D14" s="19">
        <f>SUMIFS(Sales_Data!J1:J101,Sales_Data!D1:D101,
"ELECTRONICS",Sales_Data!C1:C101,"NORTH")</f>
        <v>1205581.169</v>
      </c>
      <c r="E14" t="str">
        <f t="shared" ca="1" si="0"/>
        <v>=SUMIFS(Sales_Data!J1:J101,Sales_Data!D1:D101,
"ELECTRONICS",Sales_Data!C1:C101,"NORTH")</v>
      </c>
    </row>
    <row r="15" spans="1:5" ht="33.75" customHeight="1" x14ac:dyDescent="0.35">
      <c r="A15" s="11">
        <v>14</v>
      </c>
      <c r="B15" s="12" t="s">
        <v>198</v>
      </c>
      <c r="C15" s="13" t="s">
        <v>200</v>
      </c>
      <c r="D15" s="14">
        <f>SUMIFS(Sales_Data!J1:J101,Sales_Data!L1:L101,"WHOLESALE",Sales_Data!J1:J101,"&gt;10000")</f>
        <v>3058343.1779999998</v>
      </c>
      <c r="E15" t="str">
        <f t="shared" ca="1" si="0"/>
        <v>=SUMIFS(Sales_Data!J1:J101,Sales_Data!L1:L101,"WHOLESALE",Sales_Data!J1:J101,"&gt;10000")</v>
      </c>
    </row>
    <row r="16" spans="1:5" ht="33.75" customHeight="1" x14ac:dyDescent="0.35">
      <c r="A16" s="11">
        <v>15</v>
      </c>
      <c r="B16" s="12" t="s">
        <v>198</v>
      </c>
      <c r="C16" s="13" t="s">
        <v>201</v>
      </c>
      <c r="D16" s="14">
        <f>SUMIFS(Sales_Data!J1:J101,Sales_Data!F1:F101,"ANANYA",Sales_Data!D1:D101,"CLOTHING",Sales_Data!I1:I101,"&gt;0%")</f>
        <v>42341.279999999999</v>
      </c>
      <c r="E16" t="str">
        <f t="shared" ca="1" si="0"/>
        <v>=SUMIFS(Sales_Data!J1:J101,Sales_Data!F1:F101,"ANANYA",Sales_Data!D1:D101,"CLOTHING",Sales_Data!I1:I101,"&gt;0%")</v>
      </c>
    </row>
    <row r="17" spans="1:5" ht="33.75" customHeight="1" x14ac:dyDescent="0.35">
      <c r="A17" s="11">
        <v>16</v>
      </c>
      <c r="B17" s="12" t="s">
        <v>202</v>
      </c>
      <c r="C17" s="13" t="s">
        <v>203</v>
      </c>
      <c r="D17" s="14">
        <f>AVERAGEIF(Sales_Data!D1:D101,"FURNITURE",Sales_Data!H1:H101)</f>
        <v>5379.4805263157896</v>
      </c>
      <c r="E17" t="str">
        <f ca="1">_xlfn.FORMULATEXT(D17)</f>
        <v>=AVERAGEIF(Sales_Data!D1:D101,"FURNITURE",Sales_Data!H1:H101)</v>
      </c>
    </row>
    <row r="18" spans="1:5" ht="33.75" customHeight="1" x14ac:dyDescent="0.35">
      <c r="A18" s="11">
        <v>17</v>
      </c>
      <c r="B18" s="12" t="s">
        <v>202</v>
      </c>
      <c r="C18" s="13" t="s">
        <v>204</v>
      </c>
      <c r="D18" s="14">
        <f>AVERAGEIF(Sales_Data!C1:C101,"WEST",Sales_Data!M1:M101)</f>
        <v>2.9130434782608696</v>
      </c>
      <c r="E18" t="str">
        <f t="shared" ca="1" si="0"/>
        <v>=AVERAGEIF(Sales_Data!C1:C101,"WEST",Sales_Data!M1:M101)</v>
      </c>
    </row>
    <row r="19" spans="1:5" ht="33.75" customHeight="1" x14ac:dyDescent="0.35">
      <c r="A19" s="11">
        <v>18</v>
      </c>
      <c r="B19" s="12" t="s">
        <v>205</v>
      </c>
      <c r="C19" s="13" t="s">
        <v>206</v>
      </c>
      <c r="D19" s="14">
        <f>AVERAGEIFS(Sales_Data!J1:J101,Sales_Data!L1:L101,"RETAIL",Sales_Data!D1:D101,"GROCERY")</f>
        <v>21427.68175</v>
      </c>
      <c r="E19" t="str">
        <f ca="1">_xlfn.FORMULATEXT(D19)</f>
        <v>=AVERAGEIFS(Sales_Data!J1:J101,Sales_Data!L1:L101,"RETAIL",Sales_Data!D1:D101,"GROCERY")</v>
      </c>
    </row>
    <row r="20" spans="1:5" ht="33.75" customHeight="1" x14ac:dyDescent="0.35">
      <c r="A20" s="11">
        <v>19</v>
      </c>
      <c r="B20" s="12" t="s">
        <v>205</v>
      </c>
      <c r="C20" s="13" t="s">
        <v>207</v>
      </c>
      <c r="D20" s="14">
        <f>AVERAGEIFS(Sales_Data!K1:K101,Sales_Data!C1:C101,"SOUTH",Sales_Data!G1:G101,"&gt;10")</f>
        <v>17683.03</v>
      </c>
      <c r="E20" t="str">
        <f t="shared" ca="1" si="0"/>
        <v>=AVERAGEIFS(Sales_Data!K1:K101,Sales_Data!C1:C101,"SOUTH",Sales_Data!G1:G101,"&gt;10")</v>
      </c>
    </row>
    <row r="21" spans="1:5" ht="33.75" customHeight="1" x14ac:dyDescent="0.35">
      <c r="A21" s="11">
        <v>20</v>
      </c>
      <c r="B21" s="12" t="s">
        <v>208</v>
      </c>
      <c r="C21" s="13" t="s">
        <v>209</v>
      </c>
      <c r="D21" s="14">
        <f>COUNTIF(Sales_Data!D1:D101,"STATIONERY")</f>
        <v>21</v>
      </c>
      <c r="E21" t="str">
        <f t="shared" ca="1" si="0"/>
        <v>=COUNTIF(Sales_Data!D1:D101,"STATIONERY")</v>
      </c>
    </row>
    <row r="22" spans="1:5" ht="33.75" customHeight="1" x14ac:dyDescent="0.35">
      <c r="A22" s="11">
        <v>21</v>
      </c>
      <c r="B22" s="12" t="s">
        <v>208</v>
      </c>
      <c r="C22" s="13" t="s">
        <v>210</v>
      </c>
      <c r="D22" s="14">
        <f>COUNTIF(Sales_Data!M1:M101,"5")</f>
        <v>17</v>
      </c>
      <c r="E22" t="str">
        <f t="shared" ca="1" si="0"/>
        <v>=COUNTIF(Sales_Data!M1:M101,"5")</v>
      </c>
    </row>
    <row r="23" spans="1:5" ht="33.75" customHeight="1" x14ac:dyDescent="0.35">
      <c r="A23" s="11">
        <v>22</v>
      </c>
      <c r="B23" s="12" t="s">
        <v>208</v>
      </c>
      <c r="C23" s="13" t="s">
        <v>211</v>
      </c>
      <c r="D23" s="14">
        <f>COUNTIF(Sales_Data!J1:J101,"&gt;15000")</f>
        <v>76</v>
      </c>
      <c r="E23" t="str">
        <f ca="1">_xlfn.FORMULATEXT(D23)</f>
        <v>=COUNTIF(Sales_Data!J1:J101,"&gt;15000")</v>
      </c>
    </row>
    <row r="24" spans="1:5" ht="33.75" customHeight="1" x14ac:dyDescent="0.35">
      <c r="A24" s="11">
        <v>23</v>
      </c>
      <c r="B24" s="12" t="s">
        <v>212</v>
      </c>
      <c r="C24" s="13" t="s">
        <v>213</v>
      </c>
      <c r="D24" s="14">
        <f>COUNTIFS(Sales_Data!L1:L101,"WHOLESALE",Sales_Data!C1:C101,"EAST")</f>
        <v>9</v>
      </c>
      <c r="E24" t="str">
        <f t="shared" ca="1" si="0"/>
        <v>=COUNTIFS(Sales_Data!L1:L101,"WHOLESALE",Sales_Data!C1:C101,"EAST")</v>
      </c>
    </row>
    <row r="25" spans="1:5" ht="33.75" customHeight="1" x14ac:dyDescent="0.35">
      <c r="A25" s="11">
        <v>24</v>
      </c>
      <c r="B25" s="12" t="s">
        <v>212</v>
      </c>
      <c r="C25" s="13" t="s">
        <v>214</v>
      </c>
      <c r="D25" s="14">
        <f>COUNTIFS(Sales_Data!D1:D101,"ELECTRONICS",Sales_Data!I1:I101,"&gt;10%")</f>
        <v>2</v>
      </c>
      <c r="E25" t="str">
        <f t="shared" ca="1" si="0"/>
        <v>=COUNTIFS(Sales_Data!D1:D101,"ELECTRONICS",Sales_Data!I1:I101,"&gt;10%")</v>
      </c>
    </row>
    <row r="26" spans="1:5" ht="33.75" customHeight="1" x14ac:dyDescent="0.35">
      <c r="A26" s="11">
        <v>25</v>
      </c>
      <c r="B26" s="12" t="s">
        <v>215</v>
      </c>
      <c r="C26" s="13" t="s">
        <v>216</v>
      </c>
      <c r="D26" s="14">
        <f>_xlfn.MINIFS(Sales_Data!J1:J101,Sales_Data!D1:D101,"CLOTHING")</f>
        <v>923.67</v>
      </c>
      <c r="E26" t="str">
        <f ca="1">_xlfn.FORMULATEXT(D26)</f>
        <v>=MINIFS(Sales_Data!J1:J101,Sales_Data!D1:D101,"CLOTHING")</v>
      </c>
    </row>
    <row r="27" spans="1:5" ht="33.75" customHeight="1" x14ac:dyDescent="0.35">
      <c r="A27" s="11">
        <v>26</v>
      </c>
      <c r="B27" s="12" t="s">
        <v>215</v>
      </c>
      <c r="C27" s="13" t="s">
        <v>217</v>
      </c>
      <c r="D27" s="14">
        <f>_xlfn.MINIFS(Sales_Data!H1:H101,Sales_Data!C1:C101,"NORTH")</f>
        <v>298.69</v>
      </c>
      <c r="E27" t="str">
        <f t="shared" ca="1" si="0"/>
        <v>=MINIFS(Sales_Data!H1:H101,Sales_Data!C1:C101,"NORTH")</v>
      </c>
    </row>
    <row r="28" spans="1:5" ht="33.75" customHeight="1" x14ac:dyDescent="0.35">
      <c r="A28" s="11">
        <v>27</v>
      </c>
      <c r="B28" s="12" t="s">
        <v>218</v>
      </c>
      <c r="C28" s="13" t="s">
        <v>219</v>
      </c>
      <c r="D28" s="14">
        <f>_xlfn.MAXIFS(Sales_Data!K1:K101,Sales_Data!D1:D101,"ELECTRONICS")</f>
        <v>201951.71</v>
      </c>
      <c r="E28" t="str">
        <f t="shared" ca="1" si="0"/>
        <v>=MAXIFS(Sales_Data!K1:K101,Sales_Data!D1:D101,"ELECTRONICS")</v>
      </c>
    </row>
    <row r="29" spans="1:5" ht="33.75" customHeight="1" x14ac:dyDescent="0.35">
      <c r="A29" s="11">
        <v>28</v>
      </c>
      <c r="B29" s="12" t="s">
        <v>218</v>
      </c>
      <c r="C29" s="13" t="s">
        <v>220</v>
      </c>
      <c r="D29" s="14">
        <f>_xlfn.MAXIFS(Sales_Data!J1:J101,Sales_Data!L1:L101,"WHOLESALE",Sales_Data!C1:C101,"SOUTH")</f>
        <v>636284.15999999992</v>
      </c>
      <c r="E29" t="str">
        <f ca="1">_xlfn.FORMULATEXT(D29)</f>
        <v>=MAXIFS(Sales_Data!J1:J101,Sales_Data!L1:L101,"WHOLESALE",Sales_Data!C1:C101,"SOUTH")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opLeftCell="A2" zoomScale="80" zoomScaleNormal="100" workbookViewId="0">
      <selection activeCell="B8" sqref="B8"/>
    </sheetView>
  </sheetViews>
  <sheetFormatPr defaultColWidth="8.6328125" defaultRowHeight="14.5" x14ac:dyDescent="0.35"/>
  <cols>
    <col min="1" max="1" width="6" customWidth="1"/>
    <col min="2" max="2" width="95" customWidth="1"/>
  </cols>
  <sheetData>
    <row r="1" spans="1:2" ht="25.5" customHeight="1" x14ac:dyDescent="0.45">
      <c r="A1" s="21" t="s">
        <v>221</v>
      </c>
      <c r="B1" s="21"/>
    </row>
    <row r="2" spans="1:2" ht="39.75" customHeight="1" x14ac:dyDescent="0.35">
      <c r="A2" s="22" t="s">
        <v>222</v>
      </c>
      <c r="B2" s="22"/>
    </row>
    <row r="4" spans="1:2" ht="31.5" customHeight="1" x14ac:dyDescent="0.35">
      <c r="A4" s="15">
        <v>1</v>
      </c>
      <c r="B4" s="13" t="s">
        <v>223</v>
      </c>
    </row>
    <row r="5" spans="1:2" ht="31.5" customHeight="1" x14ac:dyDescent="0.35">
      <c r="A5" s="15">
        <v>2</v>
      </c>
      <c r="B5" s="13" t="s">
        <v>224</v>
      </c>
    </row>
    <row r="6" spans="1:2" ht="31.5" customHeight="1" x14ac:dyDescent="0.35">
      <c r="A6" s="15">
        <v>3</v>
      </c>
      <c r="B6" s="13" t="s">
        <v>225</v>
      </c>
    </row>
    <row r="7" spans="1:2" ht="31.5" customHeight="1" x14ac:dyDescent="0.35">
      <c r="A7" s="15">
        <v>4</v>
      </c>
      <c r="B7" s="13" t="s">
        <v>226</v>
      </c>
    </row>
    <row r="8" spans="1:2" ht="31.5" customHeight="1" x14ac:dyDescent="0.35">
      <c r="A8" s="15">
        <v>5</v>
      </c>
      <c r="B8" s="13" t="s">
        <v>227</v>
      </c>
    </row>
    <row r="9" spans="1:2" ht="31.5" customHeight="1" x14ac:dyDescent="0.35">
      <c r="A9" s="15">
        <v>6</v>
      </c>
      <c r="B9" s="13" t="s">
        <v>228</v>
      </c>
    </row>
    <row r="10" spans="1:2" ht="31.5" customHeight="1" x14ac:dyDescent="0.35">
      <c r="A10" s="15">
        <v>7</v>
      </c>
      <c r="B10" s="13" t="s">
        <v>229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14" customWidth="1"/>
    <col min="3" max="3" width="75" customWidth="1"/>
    <col min="4" max="4" width="45" customWidth="1"/>
  </cols>
  <sheetData>
    <row r="1" spans="1:4" x14ac:dyDescent="0.35">
      <c r="A1" s="16" t="s">
        <v>178</v>
      </c>
      <c r="B1" s="16" t="s">
        <v>179</v>
      </c>
      <c r="C1" s="16" t="s">
        <v>180</v>
      </c>
      <c r="D1" s="16" t="s">
        <v>230</v>
      </c>
    </row>
    <row r="2" spans="1:4" ht="33.75" customHeight="1" x14ac:dyDescent="0.35">
      <c r="A2" s="11">
        <v>1</v>
      </c>
      <c r="B2" s="12" t="s">
        <v>182</v>
      </c>
      <c r="C2" s="13" t="s">
        <v>183</v>
      </c>
      <c r="D2" s="17" t="str">
        <f>IF(Sales_Data!J2&gt;20000,"High","Low")</f>
        <v>High</v>
      </c>
    </row>
    <row r="3" spans="1:4" ht="33.75" customHeight="1" x14ac:dyDescent="0.35">
      <c r="A3" s="11">
        <v>2</v>
      </c>
      <c r="B3" s="12" t="s">
        <v>182</v>
      </c>
      <c r="C3" s="13" t="s">
        <v>184</v>
      </c>
      <c r="D3" s="17" t="str">
        <f>IF(Sales_Data!M2&gt;=4,"Good","Needs Improvement")</f>
        <v>Good</v>
      </c>
    </row>
    <row r="4" spans="1:4" ht="33.75" customHeight="1" x14ac:dyDescent="0.35">
      <c r="A4" s="11">
        <v>3</v>
      </c>
      <c r="B4" s="12" t="s">
        <v>182</v>
      </c>
      <c r="C4" s="13" t="s">
        <v>185</v>
      </c>
      <c r="D4" s="17" t="str">
        <f>IF(Sales_Data!L2="Wholesale","Wholesale Deal","Retail Deal")</f>
        <v>Retail Deal</v>
      </c>
    </row>
    <row r="5" spans="1:4" ht="33.75" customHeight="1" x14ac:dyDescent="0.35">
      <c r="A5" s="11">
        <v>4</v>
      </c>
      <c r="B5" s="12" t="s">
        <v>186</v>
      </c>
      <c r="C5" s="13" t="s">
        <v>187</v>
      </c>
      <c r="D5" s="17" t="str">
        <f>IF(Sales_Data!J2&lt;5000,"Small",IF(Sales_Data!J2&lt;=20000,"Medium","Large"))</f>
        <v>Large</v>
      </c>
    </row>
    <row r="6" spans="1:4" ht="33.75" customHeight="1" x14ac:dyDescent="0.35">
      <c r="A6" s="11">
        <v>5</v>
      </c>
      <c r="B6" s="12" t="s">
        <v>186</v>
      </c>
      <c r="C6" s="13" t="s">
        <v>188</v>
      </c>
      <c r="D6" s="17" t="str">
        <f>IF(Sales_Data!M2=5,"Excellent",IF(Sales_Data!M2&gt;=3,"Good","Poor"))</f>
        <v>Excellent</v>
      </c>
    </row>
    <row r="7" spans="1:4" ht="33.75" customHeight="1" x14ac:dyDescent="0.35">
      <c r="A7" s="11">
        <v>6</v>
      </c>
      <c r="B7" s="12" t="s">
        <v>186</v>
      </c>
      <c r="C7" s="13" t="s">
        <v>189</v>
      </c>
      <c r="D7" s="17" t="str">
        <f>IF(Sales_Data!I2=0,"No Discount",IF(Sales_Data!I2&lt;=0.1,"Low","High"))</f>
        <v>No Discount</v>
      </c>
    </row>
    <row r="8" spans="1:4" ht="33.75" customHeight="1" x14ac:dyDescent="0.35">
      <c r="A8" s="11">
        <v>7</v>
      </c>
      <c r="B8" s="12" t="s">
        <v>190</v>
      </c>
      <c r="C8" s="13" t="s">
        <v>191</v>
      </c>
      <c r="D8" s="17" t="str">
        <f>_xlfn.IFS(Sales_Data!J2&lt;5000,"Small",Sales_Data!J2&lt;=20000,"Medium",Sales_Data!J2&gt;20000,"Large")</f>
        <v>Large</v>
      </c>
    </row>
    <row r="9" spans="1:4" ht="33.75" customHeight="1" x14ac:dyDescent="0.35">
      <c r="A9" s="11">
        <v>8</v>
      </c>
      <c r="B9" s="12" t="s">
        <v>190</v>
      </c>
      <c r="C9" s="13" t="s">
        <v>192</v>
      </c>
      <c r="D9" s="17" t="str">
        <f>_xlfn.IFS(Sales_Data!G2&gt;=15,"Bulk Order",Sales_Data!G2&gt;=5,"Standard Order",Sales_Data!G2&lt;5,"Small Order")</f>
        <v>Standard Order</v>
      </c>
    </row>
    <row r="10" spans="1:4" ht="33.75" customHeight="1" x14ac:dyDescent="0.35">
      <c r="A10" s="11">
        <v>9</v>
      </c>
      <c r="B10" s="12" t="s">
        <v>190</v>
      </c>
      <c r="C10" s="13" t="s">
        <v>193</v>
      </c>
      <c r="D10" s="17" t="str">
        <f>_xlfn.IFS(Sales_Data!C2="North","Zone A",Sales_Data!C2="South","Zone B",Sales_Data!C2="East","Zone C",Sales_Data!C2="West","Zone D")</f>
        <v>Zone A</v>
      </c>
    </row>
    <row r="11" spans="1:4" ht="33.75" customHeight="1" x14ac:dyDescent="0.35">
      <c r="A11" s="11">
        <v>10</v>
      </c>
      <c r="B11" s="12" t="s">
        <v>194</v>
      </c>
      <c r="C11" s="13" t="s">
        <v>195</v>
      </c>
      <c r="D11" s="17">
        <f>SUMIF(Sales_Data!D:D,"Electronics",Sales_Data!J:J)</f>
        <v>3660496.0115000005</v>
      </c>
    </row>
    <row r="12" spans="1:4" ht="33.75" customHeight="1" x14ac:dyDescent="0.35">
      <c r="A12" s="11">
        <v>11</v>
      </c>
      <c r="B12" s="12" t="s">
        <v>194</v>
      </c>
      <c r="C12" s="13" t="s">
        <v>196</v>
      </c>
      <c r="D12" s="17">
        <f>SUMIF(Sales_Data!C:C,"North",Sales_Data!K:K)</f>
        <v>498720.05</v>
      </c>
    </row>
    <row r="13" spans="1:4" ht="33.75" customHeight="1" x14ac:dyDescent="0.35">
      <c r="A13" s="11">
        <v>12</v>
      </c>
      <c r="B13" s="12" t="s">
        <v>194</v>
      </c>
      <c r="C13" s="13" t="s">
        <v>197</v>
      </c>
      <c r="D13" s="17">
        <f>SUMIF(Sales_Data!M:M,5,Sales_Data!J:J)</f>
        <v>790492.61950000003</v>
      </c>
    </row>
    <row r="14" spans="1:4" ht="33.75" customHeight="1" x14ac:dyDescent="0.35">
      <c r="A14" s="11">
        <v>13</v>
      </c>
      <c r="B14" s="12" t="s">
        <v>198</v>
      </c>
      <c r="C14" s="13" t="s">
        <v>199</v>
      </c>
      <c r="D14" s="17">
        <f>SUMIFS(Sales_Data!J:J,Sales_Data!D:D,"Electronics",Sales_Data!C:C,"North")</f>
        <v>1205581.169</v>
      </c>
    </row>
    <row r="15" spans="1:4" ht="33.75" customHeight="1" x14ac:dyDescent="0.35">
      <c r="A15" s="11">
        <v>14</v>
      </c>
      <c r="B15" s="12" t="s">
        <v>198</v>
      </c>
      <c r="C15" s="13" t="s">
        <v>200</v>
      </c>
      <c r="D15" s="17">
        <f>SUMIFS(Sales_Data!K:K,Sales_Data!L:L,"Wholesale",Sales_Data!J:J,"&gt;10000")</f>
        <v>566137.34999999974</v>
      </c>
    </row>
    <row r="16" spans="1:4" ht="33.75" customHeight="1" x14ac:dyDescent="0.35">
      <c r="A16" s="11">
        <v>15</v>
      </c>
      <c r="B16" s="12" t="s">
        <v>198</v>
      </c>
      <c r="C16" s="13" t="s">
        <v>201</v>
      </c>
      <c r="D16" s="17">
        <f>SUMIFS(Sales_Data!J:J,Sales_Data!F:F,"Ananya",Sales_Data!D:D,"Clothing",Sales_Data!I:I,"&gt;0")</f>
        <v>42341.279999999999</v>
      </c>
    </row>
    <row r="17" spans="1:4" ht="33.75" customHeight="1" x14ac:dyDescent="0.35">
      <c r="A17" s="11">
        <v>16</v>
      </c>
      <c r="B17" s="12" t="s">
        <v>202</v>
      </c>
      <c r="C17" s="13" t="s">
        <v>203</v>
      </c>
      <c r="D17" s="17">
        <f>AVERAGEIF(Sales_Data!D:D,"Furniture",Sales_Data!H:H)</f>
        <v>5379.4805263157896</v>
      </c>
    </row>
    <row r="18" spans="1:4" ht="33.75" customHeight="1" x14ac:dyDescent="0.35">
      <c r="A18" s="11">
        <v>17</v>
      </c>
      <c r="B18" s="12" t="s">
        <v>202</v>
      </c>
      <c r="C18" s="13" t="s">
        <v>204</v>
      </c>
      <c r="D18" s="17">
        <f>AVERAGEIF(Sales_Data!C:C,"West",Sales_Data!M:M)</f>
        <v>2.9130434782608696</v>
      </c>
    </row>
    <row r="19" spans="1:4" ht="33.75" customHeight="1" x14ac:dyDescent="0.35">
      <c r="A19" s="11">
        <v>18</v>
      </c>
      <c r="B19" s="12" t="s">
        <v>205</v>
      </c>
      <c r="C19" s="13" t="s">
        <v>206</v>
      </c>
      <c r="D19" s="17">
        <f>AVERAGEIFS(Sales_Data!J:J,Sales_Data!L:L,"Retail",Sales_Data!D:D,"Grocery")</f>
        <v>21427.68175</v>
      </c>
    </row>
    <row r="20" spans="1:4" ht="33.75" customHeight="1" x14ac:dyDescent="0.35">
      <c r="A20" s="11">
        <v>19</v>
      </c>
      <c r="B20" s="12" t="s">
        <v>205</v>
      </c>
      <c r="C20" s="13" t="s">
        <v>207</v>
      </c>
      <c r="D20" s="17">
        <f>AVERAGEIFS(Sales_Data!K:K,Sales_Data!C:C,"South",Sales_Data!G:G,"&gt;10")</f>
        <v>17683.03</v>
      </c>
    </row>
    <row r="21" spans="1:4" ht="33.75" customHeight="1" x14ac:dyDescent="0.35">
      <c r="A21" s="11">
        <v>20</v>
      </c>
      <c r="B21" s="12" t="s">
        <v>208</v>
      </c>
      <c r="C21" s="13" t="s">
        <v>209</v>
      </c>
      <c r="D21" s="17">
        <f>COUNTIF(Sales_Data!D:D,"Stationery")</f>
        <v>21</v>
      </c>
    </row>
    <row r="22" spans="1:4" ht="33.75" customHeight="1" x14ac:dyDescent="0.35">
      <c r="A22" s="11">
        <v>21</v>
      </c>
      <c r="B22" s="12" t="s">
        <v>208</v>
      </c>
      <c r="C22" s="13" t="s">
        <v>210</v>
      </c>
      <c r="D22" s="17">
        <f>COUNTIF(Sales_Data!M:M,5)</f>
        <v>17</v>
      </c>
    </row>
    <row r="23" spans="1:4" ht="33.75" customHeight="1" x14ac:dyDescent="0.35">
      <c r="A23" s="11">
        <v>22</v>
      </c>
      <c r="B23" s="12" t="s">
        <v>208</v>
      </c>
      <c r="C23" s="13" t="s">
        <v>211</v>
      </c>
      <c r="D23" s="17">
        <f>COUNTIF(Sales_Data!J:J,"&gt;15000")</f>
        <v>76</v>
      </c>
    </row>
    <row r="24" spans="1:4" ht="33.75" customHeight="1" x14ac:dyDescent="0.35">
      <c r="A24" s="11">
        <v>23</v>
      </c>
      <c r="B24" s="12" t="s">
        <v>212</v>
      </c>
      <c r="C24" s="13" t="s">
        <v>213</v>
      </c>
      <c r="D24" s="17">
        <f>COUNTIFS(Sales_Data!L:L,"Wholesale",Sales_Data!C:C,"East")</f>
        <v>9</v>
      </c>
    </row>
    <row r="25" spans="1:4" ht="33.75" customHeight="1" x14ac:dyDescent="0.35">
      <c r="A25" s="11">
        <v>24</v>
      </c>
      <c r="B25" s="12" t="s">
        <v>212</v>
      </c>
      <c r="C25" s="13" t="s">
        <v>214</v>
      </c>
      <c r="D25" s="17">
        <f>COUNTIFS(Sales_Data!D:D,"Electronics",Sales_Data!I:I,"&gt;0.1")</f>
        <v>2</v>
      </c>
    </row>
    <row r="26" spans="1:4" ht="33.75" customHeight="1" x14ac:dyDescent="0.35">
      <c r="A26" s="11">
        <v>25</v>
      </c>
      <c r="B26" s="12" t="s">
        <v>215</v>
      </c>
      <c r="C26" s="13" t="s">
        <v>216</v>
      </c>
      <c r="D26" s="17">
        <f>_xlfn.MINIFS(Sales_Data!J:J,Sales_Data!D:D,"Clothing")</f>
        <v>923.67</v>
      </c>
    </row>
    <row r="27" spans="1:4" ht="33.75" customHeight="1" x14ac:dyDescent="0.35">
      <c r="A27" s="11">
        <v>26</v>
      </c>
      <c r="B27" s="12" t="s">
        <v>215</v>
      </c>
      <c r="C27" s="13" t="s">
        <v>217</v>
      </c>
      <c r="D27" s="17">
        <f>_xlfn.MINIFS(Sales_Data!H:H,Sales_Data!C:C,"North")</f>
        <v>298.69</v>
      </c>
    </row>
    <row r="28" spans="1:4" ht="33.75" customHeight="1" x14ac:dyDescent="0.35">
      <c r="A28" s="11">
        <v>27</v>
      </c>
      <c r="B28" s="12" t="s">
        <v>218</v>
      </c>
      <c r="C28" s="13" t="s">
        <v>219</v>
      </c>
      <c r="D28" s="17">
        <f>_xlfn.MAXIFS(Sales_Data!K:K,Sales_Data!D:D,"Electronics")</f>
        <v>201951.71</v>
      </c>
    </row>
    <row r="29" spans="1:4" ht="33.75" customHeight="1" x14ac:dyDescent="0.35">
      <c r="A29" s="11">
        <v>28</v>
      </c>
      <c r="B29" s="12" t="s">
        <v>218</v>
      </c>
      <c r="C29" s="13" t="s">
        <v>220</v>
      </c>
      <c r="D29" s="17">
        <f>_xlfn.MAXIFS(Sales_Data!J:J,Sales_Data!L:L,"Wholesale",Sales_Data!C:C,"South")</f>
        <v>636284.15999999992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Sales_Data_Formatting</vt:lpstr>
      <vt:lpstr>Sales_Data (2)</vt:lpstr>
      <vt:lpstr>Instructions</vt:lpstr>
      <vt:lpstr>Sales_Data</vt:lpstr>
      <vt:lpstr>ASSIGNMENT</vt:lpstr>
      <vt:lpstr>Conditional_Formatting_Tasks</vt:lpstr>
      <vt:lpstr>Answer_Key (Trainer Only)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aparnamittapally6@gmail.com</cp:lastModifiedBy>
  <cp:revision>0</cp:revision>
  <dcterms:created xsi:type="dcterms:W3CDTF">2026-07-03T13:28:23Z</dcterms:created>
  <dcterms:modified xsi:type="dcterms:W3CDTF">2026-07-08T11:31:13Z</dcterms:modified>
  <dc:language>en-US</dc:language>
</cp:coreProperties>
</file>