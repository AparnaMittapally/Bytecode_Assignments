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20d8914b1e23ee/Desktop/Bytecode/EXCEL/"/>
    </mc:Choice>
  </mc:AlternateContent>
  <xr:revisionPtr revIDLastSave="3" documentId="13_ncr:1_{F41FA0E9-E1F4-48A1-9F37-559CE0236F1C}" xr6:coauthVersionLast="47" xr6:coauthVersionMax="47" xr10:uidLastSave="{B78435CE-74DB-41BE-9DBA-5B258D6FC38B}"/>
  <bookViews>
    <workbookView xWindow="-110" yWindow="-110" windowWidth="19420" windowHeight="10300" activeTab="1" xr2:uid="{ECF6FABE-3EBA-4EF0-B17C-4B22C95E8E83}"/>
  </bookViews>
  <sheets>
    <sheet name="Fill series" sheetId="1" r:id="rId1"/>
    <sheet name="Flash series" sheetId="3" r:id="rId2"/>
    <sheet name="Arithmetic operation" sheetId="2" r:id="rId3"/>
    <sheet name="A" sheetId="4" r:id="rId4"/>
  </sheets>
  <definedNames>
    <definedName name="COLA">'Arithmetic operation'!$B$3:$B$8</definedName>
    <definedName name="ORDER">'Arithmetic operation'!$C$4:$C$8</definedName>
    <definedName name="PROFIT">'Arithmetic operation'!$C$4:$C$8</definedName>
    <definedName name="SALES">'Arithmetic operation'!$B$4:$B$8</definedName>
    <definedName name="TOTAK">'Arithmetic operation'!$B$3:$C$8</definedName>
    <definedName name="TOTAL">'Arithmetic operation'!$B$3:$C$8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 a="1"/>
  <c r="G4" i="4" s="1"/>
  <c r="I4" i="4" a="1"/>
  <c r="I4" i="4" s="1"/>
  <c r="L4" i="4" a="1"/>
  <c r="L4" i="4" s="1"/>
  <c r="E4" i="4" a="1"/>
  <c r="E4" i="4" s="1"/>
  <c r="C4" i="4" a="1"/>
  <c r="C4" i="4" s="1"/>
  <c r="I12" i="2" a="1"/>
  <c r="I12" i="2" s="1"/>
  <c r="L8" i="2"/>
  <c r="K8" i="2"/>
  <c r="J8" i="2"/>
  <c r="I8" i="2"/>
  <c r="G13" i="2"/>
  <c r="F13" i="2"/>
  <c r="E13" i="2"/>
  <c r="D13" i="2"/>
  <c r="G11" i="2"/>
  <c r="F11" i="2"/>
  <c r="E11" i="2"/>
  <c r="D11" i="2"/>
  <c r="G5" i="2"/>
  <c r="G6" i="2"/>
  <c r="G7" i="2"/>
  <c r="G8" i="2"/>
  <c r="G4" i="2"/>
  <c r="F5" i="2"/>
  <c r="F6" i="2"/>
  <c r="F7" i="2"/>
  <c r="F8" i="2"/>
  <c r="F4" i="2"/>
  <c r="E5" i="2"/>
  <c r="E6" i="2"/>
  <c r="E7" i="2"/>
  <c r="E8" i="2"/>
  <c r="E4" i="2"/>
  <c r="D6" i="2"/>
  <c r="D7" i="2"/>
  <c r="D8" i="2"/>
  <c r="D5" i="2"/>
  <c r="D4" i="2"/>
  <c r="G10" i="2"/>
  <c r="D10" i="2"/>
  <c r="E10" i="2"/>
  <c r="F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<sst xmlns="http://schemas.openxmlformats.org/spreadsheetml/2006/main" count="319" uniqueCount="187">
  <si>
    <t>alt E I S</t>
  </si>
  <si>
    <t>FILL SERIES</t>
  </si>
  <si>
    <t>10 TO 1</t>
  </si>
  <si>
    <t xml:space="preserve">01-01-2025 TO 31-12-2025 </t>
  </si>
  <si>
    <t>31-01-2025 TO 01-01-2025</t>
  </si>
  <si>
    <t>-10 TO +10</t>
  </si>
  <si>
    <t>ADD +2 WITH 0</t>
  </si>
  <si>
    <t>ADD +2 WITH 1</t>
  </si>
  <si>
    <t>Reverse Series</t>
  </si>
  <si>
    <t>Minus to Pluse series</t>
  </si>
  <si>
    <t>Even Series</t>
  </si>
  <si>
    <t>Odd Series</t>
  </si>
  <si>
    <t>Date Series</t>
  </si>
  <si>
    <t>Reverse Date Series</t>
  </si>
  <si>
    <t>Middile Series</t>
  </si>
  <si>
    <t>Start Series</t>
  </si>
  <si>
    <t>COLB</t>
  </si>
  <si>
    <t>COLA</t>
  </si>
  <si>
    <t>ADDITION</t>
  </si>
  <si>
    <t>SUBTRACTION</t>
  </si>
  <si>
    <t>MULTIPLICATION</t>
  </si>
  <si>
    <t>DIVISION</t>
  </si>
  <si>
    <t>METHOD 1</t>
  </si>
  <si>
    <t>METHOD 2</t>
  </si>
  <si>
    <t>1 formula text</t>
  </si>
  <si>
    <t>2 columns selection</t>
  </si>
  <si>
    <t>DESCRIPTION</t>
  </si>
  <si>
    <t>NUMBERS</t>
  </si>
  <si>
    <t>NUMBER1</t>
  </si>
  <si>
    <t>NUMBER2</t>
  </si>
  <si>
    <t>ADD</t>
  </si>
  <si>
    <t>SUB</t>
  </si>
  <si>
    <t>MUL</t>
  </si>
  <si>
    <t>1 TO 100</t>
  </si>
  <si>
    <t>100TO 200</t>
  </si>
  <si>
    <t>10 TO -10</t>
  </si>
  <si>
    <t>ARITHMETIC OPERATION</t>
  </si>
  <si>
    <t>=SALES</t>
  </si>
  <si>
    <t>=PROFIT</t>
  </si>
  <si>
    <t>=TOTAL</t>
  </si>
  <si>
    <t>=ORDER</t>
  </si>
  <si>
    <t>=COLA</t>
  </si>
  <si>
    <t>FLASH SERIES</t>
  </si>
  <si>
    <r>
      <rPr>
        <sz val="20"/>
        <color theme="8" tint="0.59999389629810485"/>
        <rFont val="Calibri"/>
        <family val="2"/>
        <scheme val="minor"/>
      </rPr>
      <t>ctl+E</t>
    </r>
    <r>
      <rPr>
        <sz val="11"/>
        <color theme="8" tint="0.59999389629810485"/>
        <rFont val="Calibri"/>
        <family val="2"/>
        <scheme val="minor"/>
      </rPr>
      <t xml:space="preserve">
WORKS ONLY IF PATTERN IS CLEAR</t>
    </r>
  </si>
  <si>
    <t>Flash Fill</t>
  </si>
  <si>
    <t>Ctl +E</t>
  </si>
  <si>
    <t>Ravi</t>
  </si>
  <si>
    <t>Kumar</t>
  </si>
  <si>
    <t>Singh</t>
  </si>
  <si>
    <t>gmail.com</t>
  </si>
  <si>
    <t>Sneha</t>
  </si>
  <si>
    <t>Rani</t>
  </si>
  <si>
    <t>Das</t>
  </si>
  <si>
    <t>yahoo.com</t>
  </si>
  <si>
    <t>Ankit</t>
  </si>
  <si>
    <t>Raj</t>
  </si>
  <si>
    <t>Verma</t>
  </si>
  <si>
    <t>company.com</t>
  </si>
  <si>
    <t>Priya</t>
  </si>
  <si>
    <t>Meena</t>
  </si>
  <si>
    <t>Joshi</t>
  </si>
  <si>
    <t>Deepak</t>
  </si>
  <si>
    <t>Manoj</t>
  </si>
  <si>
    <t>Yadav</t>
  </si>
  <si>
    <t>R</t>
  </si>
  <si>
    <t>S</t>
  </si>
  <si>
    <t>Prasad</t>
  </si>
  <si>
    <t>Emp_ID</t>
  </si>
  <si>
    <t>Full_Name</t>
  </si>
  <si>
    <t>Department</t>
  </si>
  <si>
    <t>Joining_Date</t>
  </si>
  <si>
    <t>Salary</t>
  </si>
  <si>
    <t>Bonus</t>
  </si>
  <si>
    <t>Phone_Number</t>
  </si>
  <si>
    <t>Email</t>
  </si>
  <si>
    <t>Vikas</t>
  </si>
  <si>
    <t>Ramesh</t>
  </si>
  <si>
    <t>Shetty</t>
  </si>
  <si>
    <t>EMP0011</t>
  </si>
  <si>
    <t>Ravi Kumar Singh</t>
  </si>
  <si>
    <t>Sales</t>
  </si>
  <si>
    <t>ravi.singh@gmail.com</t>
  </si>
  <si>
    <t>Pooja</t>
  </si>
  <si>
    <t>Rekha</t>
  </si>
  <si>
    <t>Khan</t>
  </si>
  <si>
    <t>EMP021</t>
  </si>
  <si>
    <t>Sneha Rani Das</t>
  </si>
  <si>
    <t>HR</t>
  </si>
  <si>
    <t>sneha.das@yahoo.com</t>
  </si>
  <si>
    <t>M</t>
  </si>
  <si>
    <t>K</t>
  </si>
  <si>
    <t>T</t>
  </si>
  <si>
    <t>Reddy</t>
  </si>
  <si>
    <t>EMP003</t>
  </si>
  <si>
    <t>Ankit Raj Verma</t>
  </si>
  <si>
    <t>IT</t>
  </si>
  <si>
    <t>ankit.verma@company.com</t>
  </si>
  <si>
    <t>Arjun</t>
  </si>
  <si>
    <t>Patel</t>
  </si>
  <si>
    <t>EMP004</t>
  </si>
  <si>
    <t>Priya Meena Joshi</t>
  </si>
  <si>
    <t>Finance</t>
  </si>
  <si>
    <t>priya.joshi@gmail.com</t>
  </si>
  <si>
    <t>EMP005</t>
  </si>
  <si>
    <t>Deepak Manoj Yadav</t>
  </si>
  <si>
    <t>deepak.yadav@yahoo.com</t>
  </si>
  <si>
    <t>EMP006</t>
  </si>
  <si>
    <t>R R S Prasad</t>
  </si>
  <si>
    <t>prasad.rs@company.com</t>
  </si>
  <si>
    <t>EMP007</t>
  </si>
  <si>
    <t>Vikas Ramesh Shetty</t>
  </si>
  <si>
    <t>vikas.shetty@gmail.com</t>
  </si>
  <si>
    <t>EMP008</t>
  </si>
  <si>
    <t>Pooja Rekha Khan</t>
  </si>
  <si>
    <t>pooja.khan@yahoo.com</t>
  </si>
  <si>
    <t>EMP009</t>
  </si>
  <si>
    <t>M K T Reddy</t>
  </si>
  <si>
    <t>reddy.mkt@company.com</t>
  </si>
  <si>
    <t>EMP010</t>
  </si>
  <si>
    <t>Arjun Patel</t>
  </si>
  <si>
    <t>arjun.patel@gmail.com</t>
  </si>
  <si>
    <t>9876 543 210</t>
  </si>
  <si>
    <t>98765 43210</t>
  </si>
  <si>
    <t>sing</t>
  </si>
  <si>
    <t>sneha</t>
  </si>
  <si>
    <t>das</t>
  </si>
  <si>
    <t>98 76 54 32 10</t>
  </si>
  <si>
    <t>ankit</t>
  </si>
  <si>
    <t>ver</t>
  </si>
  <si>
    <t>91 23 45 67 10</t>
  </si>
  <si>
    <t>priya</t>
  </si>
  <si>
    <t>jos</t>
  </si>
  <si>
    <t>99 88 77 66 10</t>
  </si>
  <si>
    <t>deepak</t>
  </si>
  <si>
    <t>ya</t>
  </si>
  <si>
    <t>90 12 34 56 10</t>
  </si>
  <si>
    <t>prasad</t>
  </si>
  <si>
    <t>rs</t>
  </si>
  <si>
    <t>88 99 77 66 10</t>
  </si>
  <si>
    <t>vikas</t>
  </si>
  <si>
    <t>she</t>
  </si>
  <si>
    <t>77 66 55 44 10</t>
  </si>
  <si>
    <t>pooja</t>
  </si>
  <si>
    <t>kha</t>
  </si>
  <si>
    <t>99 88 12 34 10</t>
  </si>
  <si>
    <t>reddy</t>
  </si>
  <si>
    <t>mkt</t>
  </si>
  <si>
    <t>88 77 66 55 10</t>
  </si>
  <si>
    <t>arjun</t>
  </si>
  <si>
    <t>pat</t>
  </si>
  <si>
    <t>90 90 90 90 10</t>
  </si>
  <si>
    <t>ravi</t>
  </si>
  <si>
    <t>80 80 80 80 10</t>
  </si>
  <si>
    <t>kumar</t>
  </si>
  <si>
    <t>rani</t>
  </si>
  <si>
    <t>raj</t>
  </si>
  <si>
    <t>meena</t>
  </si>
  <si>
    <t>First</t>
  </si>
  <si>
    <t>Second</t>
  </si>
  <si>
    <t>Third</t>
  </si>
  <si>
    <t>assignment</t>
  </si>
  <si>
    <t>gmail.</t>
  </si>
  <si>
    <t>gmail</t>
  </si>
  <si>
    <t>left</t>
  </si>
  <si>
    <t>Right</t>
  </si>
  <si>
    <t>Date</t>
  </si>
  <si>
    <t>Time</t>
  </si>
  <si>
    <t>123ANU</t>
  </si>
  <si>
    <t>ANU@123</t>
  </si>
  <si>
    <t>Strings</t>
  </si>
  <si>
    <t>Alpha numeric</t>
  </si>
  <si>
    <t>Numeric</t>
  </si>
  <si>
    <t>Decimal</t>
  </si>
  <si>
    <t>depends on system</t>
  </si>
  <si>
    <t>ANU</t>
  </si>
  <si>
    <t>ANU'</t>
  </si>
  <si>
    <t>"ANU"</t>
  </si>
  <si>
    <t>ANU123</t>
  </si>
  <si>
    <t>@ANU THE FUNCTION IS NOT ENTER WITHOUT '</t>
  </si>
  <si>
    <t>123</t>
  </si>
  <si>
    <t>01-01-2009</t>
  </si>
  <si>
    <t>11:15 AM</t>
  </si>
  <si>
    <t>prime numbers cant print</t>
  </si>
  <si>
    <t>Pluse to Minus series</t>
  </si>
  <si>
    <t>anu</t>
  </si>
  <si>
    <t>alt e s v</t>
  </si>
  <si>
    <t>what u want format,value etc.., use this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</si>
</sst>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8" tint="-0.249977111117893"/>
      <name val="Algerian"/>
      <family val="5"/>
    </font>
    <font>
      <sz val="26"/>
      <color rgb="FFFFCC99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1"/>
      <name val="Arial"/>
      <family val="2"/>
    </font>
    <font>
      <sz val="22"/>
      <color theme="5" tint="0.39997558519241921"/>
      <name val="Algerian"/>
      <family val="5"/>
    </font>
    <font>
      <sz val="11"/>
      <color theme="8" tint="0.59999389629810485"/>
      <name val="Calibri"/>
      <family val="2"/>
      <scheme val="minor"/>
    </font>
    <font>
      <sz val="20"/>
      <color theme="8" tint="0.59999389629810485"/>
      <name val="Calibri"/>
      <family val="2"/>
      <scheme val="minor"/>
    </font>
    <font>
      <sz val="16"/>
      <color theme="9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3" borderId="0" xfId="0" quotePrefix="1" applyFill="1"/>
    <xf numFmtId="0" fontId="0" fillId="0" borderId="0" xfId="0" applyAlignment="1">
      <alignment wrapText="1"/>
    </xf>
    <xf numFmtId="0" fontId="0" fillId="3" borderId="0" xfId="0" applyFill="1"/>
    <xf numFmtId="0" fontId="0" fillId="9" borderId="0" xfId="0" applyFill="1"/>
    <xf numFmtId="15" fontId="0" fillId="0" borderId="0" xfId="0" applyNumberFormat="1"/>
    <xf numFmtId="18" fontId="0" fillId="0" borderId="0" xfId="0" applyNumberFormat="1"/>
    <xf numFmtId="20" fontId="0" fillId="0" borderId="0" xfId="0" quotePrefix="1" applyNumberFormat="1"/>
    <xf numFmtId="0" fontId="5" fillId="4" borderId="2" xfId="0" applyFont="1" applyFill="1" applyBorder="1" applyAlignment="1">
      <alignment horizontal="center" vertical="center"/>
    </xf>
    <xf numFmtId="0" fontId="13" fillId="10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0" fillId="3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A379-3A9E-4A66-96DA-D548CE84AEFE}">
  <dimension ref="C3:P377"/>
  <sheetViews>
    <sheetView topLeftCell="I1" zoomScale="64" zoomScaleNormal="85" workbookViewId="0">
      <selection activeCell="Q18" sqref="Q18"/>
    </sheetView>
  </sheetViews>
  <sheetFormatPr defaultRowHeight="14.5" x14ac:dyDescent="0.35"/>
  <cols>
    <col min="5" max="5" width="14.08984375" customWidth="1"/>
    <col min="6" max="6" width="17.54296875" customWidth="1"/>
    <col min="7" max="7" width="19.08984375" customWidth="1"/>
    <col min="8" max="8" width="24.54296875" customWidth="1"/>
    <col min="9" max="9" width="27.08984375" customWidth="1"/>
    <col min="10" max="10" width="17.36328125" customWidth="1"/>
    <col min="11" max="11" width="21.36328125" customWidth="1"/>
    <col min="12" max="12" width="27.81640625" customWidth="1"/>
    <col min="13" max="13" width="32.90625" bestFit="1" customWidth="1"/>
    <col min="14" max="14" width="8.7265625" customWidth="1"/>
  </cols>
  <sheetData>
    <row r="3" spans="3:16" x14ac:dyDescent="0.35">
      <c r="C3" s="24" t="s">
        <v>1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3:16" x14ac:dyDescent="0.35"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3:16" x14ac:dyDescent="0.35"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3:16" x14ac:dyDescent="0.35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3:16" x14ac:dyDescent="0.35">
      <c r="E7" s="23" t="s">
        <v>0</v>
      </c>
      <c r="F7" s="23"/>
      <c r="G7" s="23"/>
      <c r="H7" s="23"/>
      <c r="I7" s="23"/>
      <c r="J7" s="23"/>
      <c r="K7" s="23"/>
      <c r="L7" s="23"/>
      <c r="M7" s="23"/>
      <c r="N7" s="23"/>
    </row>
    <row r="8" spans="3:16" x14ac:dyDescent="0.35">
      <c r="E8" s="23"/>
      <c r="F8" s="23"/>
      <c r="G8" s="23"/>
      <c r="H8" s="23"/>
      <c r="I8" s="23"/>
      <c r="J8" s="23"/>
      <c r="K8" s="23"/>
      <c r="L8" s="23"/>
      <c r="M8" s="23"/>
      <c r="N8" s="23"/>
    </row>
    <row r="10" spans="3:16" ht="38.5" customHeight="1" x14ac:dyDescent="0.35">
      <c r="E10" s="5" t="s">
        <v>15</v>
      </c>
      <c r="F10" s="5" t="s">
        <v>14</v>
      </c>
      <c r="G10" s="5" t="s">
        <v>8</v>
      </c>
      <c r="H10" s="5" t="s">
        <v>183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</row>
    <row r="11" spans="3:16" ht="18.5" x14ac:dyDescent="0.35">
      <c r="E11" s="4"/>
      <c r="F11" s="4"/>
      <c r="G11" s="4"/>
      <c r="H11" s="4"/>
      <c r="I11" s="4"/>
      <c r="J11" s="4"/>
      <c r="K11" s="4"/>
      <c r="L11" s="4"/>
      <c r="M11" s="4"/>
    </row>
    <row r="12" spans="3:16" ht="19.5" customHeight="1" x14ac:dyDescent="0.35">
      <c r="E12" s="6" t="s">
        <v>33</v>
      </c>
      <c r="F12" s="7" t="s">
        <v>34</v>
      </c>
      <c r="G12" s="7" t="s">
        <v>2</v>
      </c>
      <c r="H12" s="7" t="s">
        <v>35</v>
      </c>
      <c r="I12" s="8" t="s">
        <v>5</v>
      </c>
      <c r="J12" s="7" t="s">
        <v>6</v>
      </c>
      <c r="K12" s="7" t="s">
        <v>7</v>
      </c>
      <c r="L12" s="7" t="s">
        <v>3</v>
      </c>
      <c r="M12" s="7" t="s">
        <v>4</v>
      </c>
      <c r="O12" s="17" t="s">
        <v>182</v>
      </c>
    </row>
    <row r="13" spans="3:16" x14ac:dyDescent="0.35">
      <c r="E13">
        <v>1</v>
      </c>
      <c r="F13">
        <v>100</v>
      </c>
      <c r="G13">
        <v>10</v>
      </c>
      <c r="H13">
        <v>10</v>
      </c>
      <c r="I13">
        <v>-10</v>
      </c>
      <c r="J13">
        <v>0</v>
      </c>
      <c r="K13">
        <v>1</v>
      </c>
      <c r="L13" s="1">
        <v>45658</v>
      </c>
      <c r="M13" s="1">
        <v>46022</v>
      </c>
    </row>
    <row r="14" spans="3:16" x14ac:dyDescent="0.35">
      <c r="E14">
        <v>2</v>
      </c>
      <c r="F14">
        <v>101</v>
      </c>
      <c r="G14">
        <v>9</v>
      </c>
      <c r="H14">
        <v>9</v>
      </c>
      <c r="I14">
        <v>-9</v>
      </c>
      <c r="J14">
        <v>2</v>
      </c>
      <c r="K14">
        <v>3</v>
      </c>
      <c r="L14" s="1">
        <v>45659</v>
      </c>
      <c r="M14" s="1">
        <v>46021</v>
      </c>
    </row>
    <row r="15" spans="3:16" x14ac:dyDescent="0.35">
      <c r="E15">
        <v>3</v>
      </c>
      <c r="F15">
        <v>102</v>
      </c>
      <c r="G15">
        <v>8</v>
      </c>
      <c r="H15">
        <v>8</v>
      </c>
      <c r="I15">
        <v>-8</v>
      </c>
      <c r="J15">
        <v>4</v>
      </c>
      <c r="K15">
        <v>5</v>
      </c>
      <c r="L15" s="1">
        <v>45660</v>
      </c>
      <c r="M15" s="1">
        <v>46020</v>
      </c>
    </row>
    <row r="16" spans="3:16" x14ac:dyDescent="0.35">
      <c r="E16">
        <v>4</v>
      </c>
      <c r="F16">
        <v>103</v>
      </c>
      <c r="G16">
        <v>7</v>
      </c>
      <c r="H16">
        <v>7</v>
      </c>
      <c r="I16">
        <v>-7</v>
      </c>
      <c r="J16">
        <v>6</v>
      </c>
      <c r="K16">
        <v>7</v>
      </c>
      <c r="L16" s="1">
        <v>45661</v>
      </c>
      <c r="M16" s="1">
        <v>46019</v>
      </c>
    </row>
    <row r="17" spans="5:13" x14ac:dyDescent="0.35">
      <c r="E17">
        <v>5</v>
      </c>
      <c r="F17">
        <v>104</v>
      </c>
      <c r="G17">
        <v>6</v>
      </c>
      <c r="H17">
        <v>6</v>
      </c>
      <c r="I17">
        <v>-6</v>
      </c>
      <c r="J17">
        <v>8</v>
      </c>
      <c r="K17">
        <v>9</v>
      </c>
      <c r="L17" s="1">
        <v>45662</v>
      </c>
      <c r="M17" s="1">
        <v>46018</v>
      </c>
    </row>
    <row r="18" spans="5:13" x14ac:dyDescent="0.35">
      <c r="E18">
        <v>6</v>
      </c>
      <c r="F18">
        <v>105</v>
      </c>
      <c r="G18">
        <v>5</v>
      </c>
      <c r="H18">
        <v>5</v>
      </c>
      <c r="I18">
        <v>-5</v>
      </c>
      <c r="J18">
        <v>10</v>
      </c>
      <c r="K18">
        <v>11</v>
      </c>
      <c r="L18" s="1">
        <v>45663</v>
      </c>
      <c r="M18" s="1">
        <v>46017</v>
      </c>
    </row>
    <row r="19" spans="5:13" x14ac:dyDescent="0.35">
      <c r="E19">
        <v>7</v>
      </c>
      <c r="F19">
        <v>106</v>
      </c>
      <c r="G19">
        <v>4</v>
      </c>
      <c r="H19">
        <v>4</v>
      </c>
      <c r="I19">
        <v>-4</v>
      </c>
      <c r="J19">
        <v>12</v>
      </c>
      <c r="K19">
        <v>13</v>
      </c>
      <c r="L19" s="1">
        <v>45664</v>
      </c>
      <c r="M19" s="1">
        <v>46016</v>
      </c>
    </row>
    <row r="20" spans="5:13" x14ac:dyDescent="0.35">
      <c r="E20">
        <v>8</v>
      </c>
      <c r="F20">
        <v>107</v>
      </c>
      <c r="G20">
        <v>3</v>
      </c>
      <c r="H20">
        <v>3</v>
      </c>
      <c r="I20">
        <v>-3</v>
      </c>
      <c r="J20">
        <v>14</v>
      </c>
      <c r="K20">
        <v>15</v>
      </c>
      <c r="L20" s="1">
        <v>45665</v>
      </c>
      <c r="M20" s="1">
        <v>46015</v>
      </c>
    </row>
    <row r="21" spans="5:13" x14ac:dyDescent="0.35">
      <c r="E21">
        <v>9</v>
      </c>
      <c r="F21">
        <v>108</v>
      </c>
      <c r="G21">
        <v>2</v>
      </c>
      <c r="H21">
        <v>2</v>
      </c>
      <c r="I21">
        <v>-2</v>
      </c>
      <c r="J21">
        <v>16</v>
      </c>
      <c r="K21">
        <v>17</v>
      </c>
      <c r="L21" s="1">
        <v>45666</v>
      </c>
      <c r="M21" s="1">
        <v>46014</v>
      </c>
    </row>
    <row r="22" spans="5:13" x14ac:dyDescent="0.35">
      <c r="E22">
        <v>10</v>
      </c>
      <c r="F22">
        <v>109</v>
      </c>
      <c r="G22">
        <v>1</v>
      </c>
      <c r="H22">
        <v>1</v>
      </c>
      <c r="I22">
        <v>-1</v>
      </c>
      <c r="J22">
        <v>18</v>
      </c>
      <c r="K22">
        <v>19</v>
      </c>
      <c r="L22" s="1">
        <v>45667</v>
      </c>
      <c r="M22" s="1">
        <v>46013</v>
      </c>
    </row>
    <row r="23" spans="5:13" x14ac:dyDescent="0.35">
      <c r="E23">
        <v>11</v>
      </c>
      <c r="F23">
        <v>110</v>
      </c>
      <c r="H23">
        <v>0</v>
      </c>
      <c r="I23">
        <v>0</v>
      </c>
      <c r="J23">
        <v>20</v>
      </c>
      <c r="K23">
        <v>21</v>
      </c>
      <c r="L23" s="1">
        <v>45668</v>
      </c>
      <c r="M23" s="1">
        <v>46012</v>
      </c>
    </row>
    <row r="24" spans="5:13" x14ac:dyDescent="0.35">
      <c r="E24">
        <v>12</v>
      </c>
      <c r="F24">
        <v>111</v>
      </c>
      <c r="H24">
        <v>-1</v>
      </c>
      <c r="I24">
        <v>1</v>
      </c>
      <c r="J24">
        <v>22</v>
      </c>
      <c r="K24">
        <v>23</v>
      </c>
      <c r="L24" s="1">
        <v>45669</v>
      </c>
      <c r="M24" s="1">
        <v>46011</v>
      </c>
    </row>
    <row r="25" spans="5:13" x14ac:dyDescent="0.35">
      <c r="E25">
        <v>13</v>
      </c>
      <c r="F25">
        <v>112</v>
      </c>
      <c r="H25">
        <v>-2</v>
      </c>
      <c r="I25">
        <v>2</v>
      </c>
      <c r="J25">
        <v>24</v>
      </c>
      <c r="K25">
        <v>25</v>
      </c>
      <c r="L25" s="1">
        <v>45670</v>
      </c>
      <c r="M25" s="1">
        <v>46010</v>
      </c>
    </row>
    <row r="26" spans="5:13" x14ac:dyDescent="0.35">
      <c r="E26">
        <v>14</v>
      </c>
      <c r="F26">
        <v>113</v>
      </c>
      <c r="H26">
        <v>-3</v>
      </c>
      <c r="I26">
        <v>3</v>
      </c>
      <c r="J26">
        <v>26</v>
      </c>
      <c r="K26">
        <v>27</v>
      </c>
      <c r="L26" s="1">
        <v>45671</v>
      </c>
      <c r="M26" s="1">
        <v>46009</v>
      </c>
    </row>
    <row r="27" spans="5:13" x14ac:dyDescent="0.35">
      <c r="E27">
        <v>15</v>
      </c>
      <c r="F27">
        <v>114</v>
      </c>
      <c r="H27">
        <v>-4</v>
      </c>
      <c r="I27">
        <v>4</v>
      </c>
      <c r="J27">
        <v>28</v>
      </c>
      <c r="K27">
        <v>29</v>
      </c>
      <c r="L27" s="1">
        <v>45672</v>
      </c>
      <c r="M27" s="1">
        <v>46008</v>
      </c>
    </row>
    <row r="28" spans="5:13" x14ac:dyDescent="0.35">
      <c r="E28">
        <v>16</v>
      </c>
      <c r="F28">
        <v>115</v>
      </c>
      <c r="H28">
        <v>-5</v>
      </c>
      <c r="I28">
        <v>5</v>
      </c>
      <c r="J28">
        <v>30</v>
      </c>
      <c r="K28">
        <v>31</v>
      </c>
      <c r="L28" s="1">
        <v>45673</v>
      </c>
      <c r="M28" s="1">
        <v>46007</v>
      </c>
    </row>
    <row r="29" spans="5:13" x14ac:dyDescent="0.35">
      <c r="E29">
        <v>17</v>
      </c>
      <c r="F29">
        <v>116</v>
      </c>
      <c r="H29">
        <v>-6</v>
      </c>
      <c r="I29">
        <v>6</v>
      </c>
      <c r="J29">
        <v>32</v>
      </c>
      <c r="K29">
        <v>33</v>
      </c>
      <c r="L29" s="1">
        <v>45674</v>
      </c>
      <c r="M29" s="1">
        <v>46006</v>
      </c>
    </row>
    <row r="30" spans="5:13" x14ac:dyDescent="0.35">
      <c r="E30">
        <v>18</v>
      </c>
      <c r="F30">
        <v>117</v>
      </c>
      <c r="H30">
        <v>-7</v>
      </c>
      <c r="I30">
        <v>7</v>
      </c>
      <c r="J30">
        <v>34</v>
      </c>
      <c r="K30">
        <v>35</v>
      </c>
      <c r="L30" s="1">
        <v>45675</v>
      </c>
      <c r="M30" s="1">
        <v>46005</v>
      </c>
    </row>
    <row r="31" spans="5:13" x14ac:dyDescent="0.35">
      <c r="E31">
        <v>19</v>
      </c>
      <c r="F31">
        <v>118</v>
      </c>
      <c r="H31">
        <v>-8</v>
      </c>
      <c r="I31">
        <v>8</v>
      </c>
      <c r="J31">
        <v>36</v>
      </c>
      <c r="K31">
        <v>37</v>
      </c>
      <c r="L31" s="1">
        <v>45676</v>
      </c>
      <c r="M31" s="1">
        <v>46004</v>
      </c>
    </row>
    <row r="32" spans="5:13" x14ac:dyDescent="0.35">
      <c r="E32">
        <v>20</v>
      </c>
      <c r="F32">
        <v>119</v>
      </c>
      <c r="H32">
        <v>-9</v>
      </c>
      <c r="I32">
        <v>9</v>
      </c>
      <c r="J32">
        <v>38</v>
      </c>
      <c r="K32">
        <v>39</v>
      </c>
      <c r="L32" s="1">
        <v>45677</v>
      </c>
      <c r="M32" s="1">
        <v>46003</v>
      </c>
    </row>
    <row r="33" spans="5:13" x14ac:dyDescent="0.35">
      <c r="E33">
        <v>21</v>
      </c>
      <c r="F33">
        <v>120</v>
      </c>
      <c r="H33">
        <v>-10</v>
      </c>
      <c r="I33">
        <v>10</v>
      </c>
      <c r="J33">
        <v>40</v>
      </c>
      <c r="K33">
        <v>41</v>
      </c>
      <c r="L33" s="1">
        <v>45678</v>
      </c>
      <c r="M33" s="1">
        <v>46002</v>
      </c>
    </row>
    <row r="34" spans="5:13" x14ac:dyDescent="0.35">
      <c r="E34">
        <v>22</v>
      </c>
      <c r="F34">
        <v>121</v>
      </c>
      <c r="J34">
        <v>42</v>
      </c>
      <c r="K34">
        <v>43</v>
      </c>
      <c r="L34" s="1">
        <v>45679</v>
      </c>
      <c r="M34" s="1">
        <v>46001</v>
      </c>
    </row>
    <row r="35" spans="5:13" x14ac:dyDescent="0.35">
      <c r="E35">
        <v>23</v>
      </c>
      <c r="F35">
        <v>122</v>
      </c>
      <c r="J35">
        <v>44</v>
      </c>
      <c r="K35">
        <v>45</v>
      </c>
      <c r="L35" s="1">
        <v>45680</v>
      </c>
      <c r="M35" s="1">
        <v>46000</v>
      </c>
    </row>
    <row r="36" spans="5:13" x14ac:dyDescent="0.35">
      <c r="E36">
        <v>24</v>
      </c>
      <c r="F36">
        <v>123</v>
      </c>
      <c r="J36">
        <v>46</v>
      </c>
      <c r="K36">
        <v>47</v>
      </c>
      <c r="L36" s="1">
        <v>45681</v>
      </c>
      <c r="M36" s="1">
        <v>45999</v>
      </c>
    </row>
    <row r="37" spans="5:13" x14ac:dyDescent="0.35">
      <c r="E37">
        <v>25</v>
      </c>
      <c r="F37">
        <v>124</v>
      </c>
      <c r="J37">
        <v>48</v>
      </c>
      <c r="K37">
        <v>49</v>
      </c>
      <c r="L37" s="1">
        <v>45682</v>
      </c>
      <c r="M37" s="1">
        <v>45998</v>
      </c>
    </row>
    <row r="38" spans="5:13" x14ac:dyDescent="0.35">
      <c r="E38">
        <v>26</v>
      </c>
      <c r="F38">
        <v>125</v>
      </c>
      <c r="J38">
        <v>50</v>
      </c>
      <c r="L38" s="1">
        <v>45683</v>
      </c>
      <c r="M38" s="1">
        <v>45997</v>
      </c>
    </row>
    <row r="39" spans="5:13" x14ac:dyDescent="0.35">
      <c r="E39">
        <v>27</v>
      </c>
      <c r="F39">
        <v>126</v>
      </c>
      <c r="L39" s="1">
        <v>45684</v>
      </c>
      <c r="M39" s="1">
        <v>45996</v>
      </c>
    </row>
    <row r="40" spans="5:13" x14ac:dyDescent="0.35">
      <c r="E40">
        <v>28</v>
      </c>
      <c r="F40">
        <v>127</v>
      </c>
      <c r="L40" s="1">
        <v>45685</v>
      </c>
      <c r="M40" s="1">
        <v>45995</v>
      </c>
    </row>
    <row r="41" spans="5:13" x14ac:dyDescent="0.35">
      <c r="E41">
        <v>29</v>
      </c>
      <c r="F41">
        <v>128</v>
      </c>
      <c r="L41" s="1">
        <v>45686</v>
      </c>
      <c r="M41" s="1">
        <v>45994</v>
      </c>
    </row>
    <row r="42" spans="5:13" x14ac:dyDescent="0.35">
      <c r="E42">
        <v>30</v>
      </c>
      <c r="F42">
        <v>129</v>
      </c>
      <c r="L42" s="1">
        <v>45687</v>
      </c>
      <c r="M42" s="1">
        <v>45993</v>
      </c>
    </row>
    <row r="43" spans="5:13" x14ac:dyDescent="0.35">
      <c r="E43">
        <v>31</v>
      </c>
      <c r="F43">
        <v>130</v>
      </c>
      <c r="L43" s="1">
        <v>45688</v>
      </c>
      <c r="M43" s="1">
        <v>45992</v>
      </c>
    </row>
    <row r="44" spans="5:13" x14ac:dyDescent="0.35">
      <c r="E44">
        <v>32</v>
      </c>
      <c r="F44">
        <v>131</v>
      </c>
      <c r="L44" s="1">
        <v>45689</v>
      </c>
      <c r="M44" s="1">
        <v>45991</v>
      </c>
    </row>
    <row r="45" spans="5:13" x14ac:dyDescent="0.35">
      <c r="E45">
        <v>33</v>
      </c>
      <c r="F45">
        <v>132</v>
      </c>
      <c r="L45" s="1">
        <v>45690</v>
      </c>
      <c r="M45" s="1">
        <v>45990</v>
      </c>
    </row>
    <row r="46" spans="5:13" x14ac:dyDescent="0.35">
      <c r="E46">
        <v>34</v>
      </c>
      <c r="F46">
        <v>133</v>
      </c>
      <c r="L46" s="1">
        <v>45691</v>
      </c>
      <c r="M46" s="1">
        <v>45989</v>
      </c>
    </row>
    <row r="47" spans="5:13" x14ac:dyDescent="0.35">
      <c r="E47">
        <v>35</v>
      </c>
      <c r="F47">
        <v>134</v>
      </c>
      <c r="L47" s="1">
        <v>45692</v>
      </c>
      <c r="M47" s="1">
        <v>45988</v>
      </c>
    </row>
    <row r="48" spans="5:13" x14ac:dyDescent="0.35">
      <c r="E48">
        <v>36</v>
      </c>
      <c r="F48">
        <v>135</v>
      </c>
      <c r="L48" s="1">
        <v>45693</v>
      </c>
      <c r="M48" s="1">
        <v>45987</v>
      </c>
    </row>
    <row r="49" spans="5:13" x14ac:dyDescent="0.35">
      <c r="E49">
        <v>37</v>
      </c>
      <c r="F49">
        <v>136</v>
      </c>
      <c r="L49" s="1">
        <v>45694</v>
      </c>
      <c r="M49" s="1">
        <v>45986</v>
      </c>
    </row>
    <row r="50" spans="5:13" x14ac:dyDescent="0.35">
      <c r="E50">
        <v>38</v>
      </c>
      <c r="F50">
        <v>137</v>
      </c>
      <c r="L50" s="1">
        <v>45695</v>
      </c>
      <c r="M50" s="1">
        <v>45985</v>
      </c>
    </row>
    <row r="51" spans="5:13" x14ac:dyDescent="0.35">
      <c r="E51">
        <v>39</v>
      </c>
      <c r="F51">
        <v>138</v>
      </c>
      <c r="L51" s="1">
        <v>45696</v>
      </c>
      <c r="M51" s="1">
        <v>45984</v>
      </c>
    </row>
    <row r="52" spans="5:13" x14ac:dyDescent="0.35">
      <c r="E52">
        <v>40</v>
      </c>
      <c r="F52">
        <v>139</v>
      </c>
      <c r="L52" s="1">
        <v>45697</v>
      </c>
      <c r="M52" s="1">
        <v>45983</v>
      </c>
    </row>
    <row r="53" spans="5:13" x14ac:dyDescent="0.35">
      <c r="E53">
        <v>41</v>
      </c>
      <c r="F53">
        <v>140</v>
      </c>
      <c r="L53" s="1">
        <v>45698</v>
      </c>
      <c r="M53" s="1">
        <v>45982</v>
      </c>
    </row>
    <row r="54" spans="5:13" x14ac:dyDescent="0.35">
      <c r="E54">
        <v>42</v>
      </c>
      <c r="F54">
        <v>141</v>
      </c>
      <c r="L54" s="1">
        <v>45699</v>
      </c>
      <c r="M54" s="1">
        <v>45981</v>
      </c>
    </row>
    <row r="55" spans="5:13" x14ac:dyDescent="0.35">
      <c r="E55">
        <v>43</v>
      </c>
      <c r="F55">
        <v>142</v>
      </c>
      <c r="L55" s="1">
        <v>45700</v>
      </c>
      <c r="M55" s="1">
        <v>45980</v>
      </c>
    </row>
    <row r="56" spans="5:13" x14ac:dyDescent="0.35">
      <c r="E56">
        <v>44</v>
      </c>
      <c r="F56">
        <v>143</v>
      </c>
      <c r="L56" s="1">
        <v>45701</v>
      </c>
      <c r="M56" s="1">
        <v>45979</v>
      </c>
    </row>
    <row r="57" spans="5:13" x14ac:dyDescent="0.35">
      <c r="E57">
        <v>45</v>
      </c>
      <c r="F57">
        <v>144</v>
      </c>
      <c r="L57" s="1">
        <v>45702</v>
      </c>
      <c r="M57" s="1">
        <v>45978</v>
      </c>
    </row>
    <row r="58" spans="5:13" x14ac:dyDescent="0.35">
      <c r="E58">
        <v>46</v>
      </c>
      <c r="F58">
        <v>145</v>
      </c>
      <c r="L58" s="1">
        <v>45703</v>
      </c>
      <c r="M58" s="1">
        <v>45977</v>
      </c>
    </row>
    <row r="59" spans="5:13" x14ac:dyDescent="0.35">
      <c r="E59">
        <v>47</v>
      </c>
      <c r="F59">
        <v>146</v>
      </c>
      <c r="L59" s="1">
        <v>45704</v>
      </c>
      <c r="M59" s="1">
        <v>45976</v>
      </c>
    </row>
    <row r="60" spans="5:13" x14ac:dyDescent="0.35">
      <c r="E60">
        <v>48</v>
      </c>
      <c r="F60">
        <v>147</v>
      </c>
      <c r="L60" s="1">
        <v>45705</v>
      </c>
      <c r="M60" s="1">
        <v>45975</v>
      </c>
    </row>
    <row r="61" spans="5:13" x14ac:dyDescent="0.35">
      <c r="E61">
        <v>49</v>
      </c>
      <c r="F61">
        <v>148</v>
      </c>
      <c r="L61" s="1">
        <v>45706</v>
      </c>
      <c r="M61" s="1">
        <v>45974</v>
      </c>
    </row>
    <row r="62" spans="5:13" x14ac:dyDescent="0.35">
      <c r="E62">
        <v>50</v>
      </c>
      <c r="F62">
        <v>149</v>
      </c>
      <c r="L62" s="1">
        <v>45707</v>
      </c>
      <c r="M62" s="1">
        <v>45973</v>
      </c>
    </row>
    <row r="63" spans="5:13" x14ac:dyDescent="0.35">
      <c r="E63">
        <v>51</v>
      </c>
      <c r="F63">
        <v>150</v>
      </c>
      <c r="L63" s="1">
        <v>45708</v>
      </c>
      <c r="M63" s="1">
        <v>45972</v>
      </c>
    </row>
    <row r="64" spans="5:13" x14ac:dyDescent="0.35">
      <c r="E64">
        <v>52</v>
      </c>
      <c r="F64">
        <v>151</v>
      </c>
      <c r="L64" s="1">
        <v>45709</v>
      </c>
      <c r="M64" s="1">
        <v>45971</v>
      </c>
    </row>
    <row r="65" spans="5:13" x14ac:dyDescent="0.35">
      <c r="E65">
        <v>53</v>
      </c>
      <c r="F65">
        <v>152</v>
      </c>
      <c r="L65" s="1">
        <v>45710</v>
      </c>
      <c r="M65" s="1">
        <v>45970</v>
      </c>
    </row>
    <row r="66" spans="5:13" x14ac:dyDescent="0.35">
      <c r="E66">
        <v>54</v>
      </c>
      <c r="F66">
        <v>153</v>
      </c>
      <c r="L66" s="1">
        <v>45711</v>
      </c>
      <c r="M66" s="1">
        <v>45969</v>
      </c>
    </row>
    <row r="67" spans="5:13" x14ac:dyDescent="0.35">
      <c r="E67">
        <v>55</v>
      </c>
      <c r="F67">
        <v>154</v>
      </c>
      <c r="L67" s="1">
        <v>45712</v>
      </c>
      <c r="M67" s="1">
        <v>45968</v>
      </c>
    </row>
    <row r="68" spans="5:13" x14ac:dyDescent="0.35">
      <c r="E68">
        <v>56</v>
      </c>
      <c r="F68">
        <v>155</v>
      </c>
      <c r="L68" s="1">
        <v>45713</v>
      </c>
      <c r="M68" s="1">
        <v>45967</v>
      </c>
    </row>
    <row r="69" spans="5:13" x14ac:dyDescent="0.35">
      <c r="E69">
        <v>57</v>
      </c>
      <c r="F69">
        <v>156</v>
      </c>
      <c r="L69" s="1">
        <v>45714</v>
      </c>
      <c r="M69" s="1">
        <v>45966</v>
      </c>
    </row>
    <row r="70" spans="5:13" x14ac:dyDescent="0.35">
      <c r="E70">
        <v>58</v>
      </c>
      <c r="F70">
        <v>157</v>
      </c>
      <c r="L70" s="1">
        <v>45715</v>
      </c>
      <c r="M70" s="1">
        <v>45965</v>
      </c>
    </row>
    <row r="71" spans="5:13" x14ac:dyDescent="0.35">
      <c r="E71">
        <v>59</v>
      </c>
      <c r="F71">
        <v>158</v>
      </c>
      <c r="L71" s="1">
        <v>45716</v>
      </c>
      <c r="M71" s="1">
        <v>45964</v>
      </c>
    </row>
    <row r="72" spans="5:13" x14ac:dyDescent="0.35">
      <c r="E72">
        <v>60</v>
      </c>
      <c r="F72">
        <v>159</v>
      </c>
      <c r="L72" s="1">
        <v>45717</v>
      </c>
      <c r="M72" s="1">
        <v>45963</v>
      </c>
    </row>
    <row r="73" spans="5:13" x14ac:dyDescent="0.35">
      <c r="E73">
        <v>61</v>
      </c>
      <c r="F73">
        <v>160</v>
      </c>
      <c r="L73" s="1">
        <v>45718</v>
      </c>
      <c r="M73" s="1">
        <v>45962</v>
      </c>
    </row>
    <row r="74" spans="5:13" x14ac:dyDescent="0.35">
      <c r="E74">
        <v>62</v>
      </c>
      <c r="F74">
        <v>161</v>
      </c>
      <c r="L74" s="1">
        <v>45719</v>
      </c>
      <c r="M74" s="1">
        <v>45961</v>
      </c>
    </row>
    <row r="75" spans="5:13" x14ac:dyDescent="0.35">
      <c r="E75">
        <v>63</v>
      </c>
      <c r="F75">
        <v>162</v>
      </c>
      <c r="L75" s="1">
        <v>45720</v>
      </c>
      <c r="M75" s="1">
        <v>45960</v>
      </c>
    </row>
    <row r="76" spans="5:13" x14ac:dyDescent="0.35">
      <c r="E76">
        <v>64</v>
      </c>
      <c r="F76">
        <v>163</v>
      </c>
      <c r="L76" s="1">
        <v>45721</v>
      </c>
      <c r="M76" s="1">
        <v>45959</v>
      </c>
    </row>
    <row r="77" spans="5:13" x14ac:dyDescent="0.35">
      <c r="E77">
        <v>65</v>
      </c>
      <c r="F77">
        <v>164</v>
      </c>
      <c r="L77" s="1">
        <v>45722</v>
      </c>
      <c r="M77" s="1">
        <v>45958</v>
      </c>
    </row>
    <row r="78" spans="5:13" x14ac:dyDescent="0.35">
      <c r="E78">
        <v>66</v>
      </c>
      <c r="F78">
        <v>165</v>
      </c>
      <c r="L78" s="1">
        <v>45723</v>
      </c>
      <c r="M78" s="1">
        <v>45957</v>
      </c>
    </row>
    <row r="79" spans="5:13" x14ac:dyDescent="0.35">
      <c r="E79">
        <v>67</v>
      </c>
      <c r="F79">
        <v>166</v>
      </c>
      <c r="L79" s="1">
        <v>45724</v>
      </c>
      <c r="M79" s="1">
        <v>45956</v>
      </c>
    </row>
    <row r="80" spans="5:13" x14ac:dyDescent="0.35">
      <c r="E80">
        <v>68</v>
      </c>
      <c r="F80">
        <v>167</v>
      </c>
      <c r="L80" s="1">
        <v>45725</v>
      </c>
      <c r="M80" s="1">
        <v>45955</v>
      </c>
    </row>
    <row r="81" spans="5:13" x14ac:dyDescent="0.35">
      <c r="E81">
        <v>69</v>
      </c>
      <c r="F81">
        <v>168</v>
      </c>
      <c r="L81" s="1">
        <v>45726</v>
      </c>
      <c r="M81" s="1">
        <v>45954</v>
      </c>
    </row>
    <row r="82" spans="5:13" x14ac:dyDescent="0.35">
      <c r="E82">
        <v>70</v>
      </c>
      <c r="F82">
        <v>169</v>
      </c>
      <c r="L82" s="1">
        <v>45727</v>
      </c>
      <c r="M82" s="1">
        <v>45953</v>
      </c>
    </row>
    <row r="83" spans="5:13" x14ac:dyDescent="0.35">
      <c r="E83">
        <v>71</v>
      </c>
      <c r="F83">
        <v>170</v>
      </c>
      <c r="L83" s="1">
        <v>45728</v>
      </c>
      <c r="M83" s="1">
        <v>45952</v>
      </c>
    </row>
    <row r="84" spans="5:13" x14ac:dyDescent="0.35">
      <c r="E84">
        <v>72</v>
      </c>
      <c r="F84">
        <v>171</v>
      </c>
      <c r="L84" s="1">
        <v>45729</v>
      </c>
      <c r="M84" s="1">
        <v>45951</v>
      </c>
    </row>
    <row r="85" spans="5:13" x14ac:dyDescent="0.35">
      <c r="E85">
        <v>73</v>
      </c>
      <c r="F85">
        <v>172</v>
      </c>
      <c r="L85" s="1">
        <v>45730</v>
      </c>
      <c r="M85" s="1">
        <v>45950</v>
      </c>
    </row>
    <row r="86" spans="5:13" x14ac:dyDescent="0.35">
      <c r="E86">
        <v>74</v>
      </c>
      <c r="F86">
        <v>173</v>
      </c>
      <c r="L86" s="1">
        <v>45731</v>
      </c>
      <c r="M86" s="1">
        <v>45949</v>
      </c>
    </row>
    <row r="87" spans="5:13" x14ac:dyDescent="0.35">
      <c r="E87">
        <v>75</v>
      </c>
      <c r="F87">
        <v>174</v>
      </c>
      <c r="L87" s="1">
        <v>45732</v>
      </c>
      <c r="M87" s="1">
        <v>45948</v>
      </c>
    </row>
    <row r="88" spans="5:13" x14ac:dyDescent="0.35">
      <c r="E88">
        <v>76</v>
      </c>
      <c r="F88">
        <v>175</v>
      </c>
      <c r="L88" s="1">
        <v>45733</v>
      </c>
      <c r="M88" s="1">
        <v>45947</v>
      </c>
    </row>
    <row r="89" spans="5:13" x14ac:dyDescent="0.35">
      <c r="E89">
        <v>77</v>
      </c>
      <c r="F89">
        <v>176</v>
      </c>
      <c r="L89" s="1">
        <v>45734</v>
      </c>
      <c r="M89" s="1">
        <v>45946</v>
      </c>
    </row>
    <row r="90" spans="5:13" x14ac:dyDescent="0.35">
      <c r="E90">
        <v>78</v>
      </c>
      <c r="F90">
        <v>177</v>
      </c>
      <c r="L90" s="1">
        <v>45735</v>
      </c>
      <c r="M90" s="1">
        <v>45945</v>
      </c>
    </row>
    <row r="91" spans="5:13" x14ac:dyDescent="0.35">
      <c r="E91">
        <v>79</v>
      </c>
      <c r="F91">
        <v>178</v>
      </c>
      <c r="L91" s="1">
        <v>45736</v>
      </c>
      <c r="M91" s="1">
        <v>45944</v>
      </c>
    </row>
    <row r="92" spans="5:13" x14ac:dyDescent="0.35">
      <c r="E92">
        <v>80</v>
      </c>
      <c r="F92">
        <v>179</v>
      </c>
      <c r="L92" s="1">
        <v>45737</v>
      </c>
      <c r="M92" s="1">
        <v>45943</v>
      </c>
    </row>
    <row r="93" spans="5:13" x14ac:dyDescent="0.35">
      <c r="E93">
        <v>81</v>
      </c>
      <c r="F93">
        <v>180</v>
      </c>
      <c r="L93" s="1">
        <v>45738</v>
      </c>
      <c r="M93" s="1">
        <v>45942</v>
      </c>
    </row>
    <row r="94" spans="5:13" x14ac:dyDescent="0.35">
      <c r="E94">
        <v>82</v>
      </c>
      <c r="F94">
        <v>181</v>
      </c>
      <c r="L94" s="1">
        <v>45739</v>
      </c>
      <c r="M94" s="1">
        <v>45941</v>
      </c>
    </row>
    <row r="95" spans="5:13" x14ac:dyDescent="0.35">
      <c r="E95">
        <v>83</v>
      </c>
      <c r="F95">
        <v>182</v>
      </c>
      <c r="L95" s="1">
        <v>45740</v>
      </c>
      <c r="M95" s="1">
        <v>45940</v>
      </c>
    </row>
    <row r="96" spans="5:13" x14ac:dyDescent="0.35">
      <c r="E96">
        <v>84</v>
      </c>
      <c r="F96">
        <v>183</v>
      </c>
      <c r="L96" s="1">
        <v>45741</v>
      </c>
      <c r="M96" s="1">
        <v>45939</v>
      </c>
    </row>
    <row r="97" spans="5:13" x14ac:dyDescent="0.35">
      <c r="E97">
        <v>85</v>
      </c>
      <c r="F97">
        <v>184</v>
      </c>
      <c r="L97" s="1">
        <v>45742</v>
      </c>
      <c r="M97" s="1">
        <v>45938</v>
      </c>
    </row>
    <row r="98" spans="5:13" x14ac:dyDescent="0.35">
      <c r="E98">
        <v>86</v>
      </c>
      <c r="F98">
        <v>185</v>
      </c>
      <c r="L98" s="1">
        <v>45743</v>
      </c>
      <c r="M98" s="1">
        <v>45937</v>
      </c>
    </row>
    <row r="99" spans="5:13" x14ac:dyDescent="0.35">
      <c r="E99">
        <v>87</v>
      </c>
      <c r="F99">
        <v>186</v>
      </c>
      <c r="L99" s="1">
        <v>45744</v>
      </c>
      <c r="M99" s="1">
        <v>45936</v>
      </c>
    </row>
    <row r="100" spans="5:13" x14ac:dyDescent="0.35">
      <c r="E100">
        <v>88</v>
      </c>
      <c r="F100">
        <v>187</v>
      </c>
      <c r="L100" s="1">
        <v>45745</v>
      </c>
      <c r="M100" s="1">
        <v>45935</v>
      </c>
    </row>
    <row r="101" spans="5:13" x14ac:dyDescent="0.35">
      <c r="E101">
        <v>89</v>
      </c>
      <c r="F101">
        <v>188</v>
      </c>
      <c r="L101" s="1">
        <v>45746</v>
      </c>
      <c r="M101" s="1">
        <v>45934</v>
      </c>
    </row>
    <row r="102" spans="5:13" x14ac:dyDescent="0.35">
      <c r="E102">
        <v>90</v>
      </c>
      <c r="F102">
        <v>189</v>
      </c>
      <c r="L102" s="1">
        <v>45747</v>
      </c>
      <c r="M102" s="1">
        <v>45933</v>
      </c>
    </row>
    <row r="103" spans="5:13" x14ac:dyDescent="0.35">
      <c r="E103">
        <v>91</v>
      </c>
      <c r="F103">
        <v>190</v>
      </c>
      <c r="L103" s="1">
        <v>45748</v>
      </c>
      <c r="M103" s="1">
        <v>45932</v>
      </c>
    </row>
    <row r="104" spans="5:13" x14ac:dyDescent="0.35">
      <c r="E104">
        <v>92</v>
      </c>
      <c r="F104">
        <v>191</v>
      </c>
      <c r="L104" s="1">
        <v>45749</v>
      </c>
      <c r="M104" s="1">
        <v>45931</v>
      </c>
    </row>
    <row r="105" spans="5:13" x14ac:dyDescent="0.35">
      <c r="E105">
        <v>93</v>
      </c>
      <c r="F105">
        <v>192</v>
      </c>
      <c r="L105" s="1">
        <v>45750</v>
      </c>
      <c r="M105" s="1">
        <v>45930</v>
      </c>
    </row>
    <row r="106" spans="5:13" x14ac:dyDescent="0.35">
      <c r="E106">
        <v>94</v>
      </c>
      <c r="F106">
        <v>193</v>
      </c>
      <c r="L106" s="1">
        <v>45751</v>
      </c>
      <c r="M106" s="1">
        <v>45929</v>
      </c>
    </row>
    <row r="107" spans="5:13" x14ac:dyDescent="0.35">
      <c r="E107">
        <v>95</v>
      </c>
      <c r="F107">
        <v>194</v>
      </c>
      <c r="L107" s="1">
        <v>45752</v>
      </c>
      <c r="M107" s="1">
        <v>45928</v>
      </c>
    </row>
    <row r="108" spans="5:13" x14ac:dyDescent="0.35">
      <c r="E108">
        <v>96</v>
      </c>
      <c r="F108">
        <v>195</v>
      </c>
      <c r="L108" s="1">
        <v>45753</v>
      </c>
      <c r="M108" s="1">
        <v>45927</v>
      </c>
    </row>
    <row r="109" spans="5:13" x14ac:dyDescent="0.35">
      <c r="E109">
        <v>97</v>
      </c>
      <c r="F109">
        <v>196</v>
      </c>
      <c r="L109" s="1">
        <v>45754</v>
      </c>
      <c r="M109" s="1">
        <v>45926</v>
      </c>
    </row>
    <row r="110" spans="5:13" x14ac:dyDescent="0.35">
      <c r="E110">
        <v>98</v>
      </c>
      <c r="F110">
        <v>197</v>
      </c>
      <c r="L110" s="1">
        <v>45755</v>
      </c>
      <c r="M110" s="1">
        <v>45925</v>
      </c>
    </row>
    <row r="111" spans="5:13" x14ac:dyDescent="0.35">
      <c r="E111">
        <v>99</v>
      </c>
      <c r="F111">
        <v>198</v>
      </c>
      <c r="L111" s="1">
        <v>45756</v>
      </c>
      <c r="M111" s="1">
        <v>45924</v>
      </c>
    </row>
    <row r="112" spans="5:13" x14ac:dyDescent="0.35">
      <c r="E112">
        <v>100</v>
      </c>
      <c r="F112">
        <v>199</v>
      </c>
      <c r="L112" s="1">
        <v>45757</v>
      </c>
      <c r="M112" s="1">
        <v>45923</v>
      </c>
    </row>
    <row r="113" spans="6:13" x14ac:dyDescent="0.35">
      <c r="F113">
        <v>200</v>
      </c>
      <c r="L113" s="1">
        <v>45758</v>
      </c>
      <c r="M113" s="1">
        <v>45922</v>
      </c>
    </row>
    <row r="114" spans="6:13" x14ac:dyDescent="0.35">
      <c r="L114" s="1">
        <v>45759</v>
      </c>
      <c r="M114" s="1">
        <v>45921</v>
      </c>
    </row>
    <row r="115" spans="6:13" x14ac:dyDescent="0.35">
      <c r="L115" s="1">
        <v>45760</v>
      </c>
      <c r="M115" s="1">
        <v>45920</v>
      </c>
    </row>
    <row r="116" spans="6:13" x14ac:dyDescent="0.35">
      <c r="L116" s="1">
        <v>45761</v>
      </c>
      <c r="M116" s="1">
        <v>45919</v>
      </c>
    </row>
    <row r="117" spans="6:13" x14ac:dyDescent="0.35">
      <c r="L117" s="1">
        <v>45762</v>
      </c>
      <c r="M117" s="1">
        <v>45918</v>
      </c>
    </row>
    <row r="118" spans="6:13" x14ac:dyDescent="0.35">
      <c r="L118" s="1">
        <v>45763</v>
      </c>
      <c r="M118" s="1">
        <v>45917</v>
      </c>
    </row>
    <row r="119" spans="6:13" x14ac:dyDescent="0.35">
      <c r="L119" s="1">
        <v>45764</v>
      </c>
      <c r="M119" s="1">
        <v>45916</v>
      </c>
    </row>
    <row r="120" spans="6:13" x14ac:dyDescent="0.35">
      <c r="L120" s="1">
        <v>45765</v>
      </c>
      <c r="M120" s="1">
        <v>45915</v>
      </c>
    </row>
    <row r="121" spans="6:13" x14ac:dyDescent="0.35">
      <c r="L121" s="1">
        <v>45766</v>
      </c>
      <c r="M121" s="1">
        <v>45914</v>
      </c>
    </row>
    <row r="122" spans="6:13" x14ac:dyDescent="0.35">
      <c r="L122" s="1">
        <v>45767</v>
      </c>
      <c r="M122" s="1">
        <v>45913</v>
      </c>
    </row>
    <row r="123" spans="6:13" x14ac:dyDescent="0.35">
      <c r="L123" s="1">
        <v>45768</v>
      </c>
      <c r="M123" s="1">
        <v>45912</v>
      </c>
    </row>
    <row r="124" spans="6:13" x14ac:dyDescent="0.35">
      <c r="L124" s="1">
        <v>45769</v>
      </c>
      <c r="M124" s="1">
        <v>45911</v>
      </c>
    </row>
    <row r="125" spans="6:13" x14ac:dyDescent="0.35">
      <c r="L125" s="1">
        <v>45770</v>
      </c>
      <c r="M125" s="1">
        <v>45910</v>
      </c>
    </row>
    <row r="126" spans="6:13" x14ac:dyDescent="0.35">
      <c r="L126" s="1">
        <v>45771</v>
      </c>
      <c r="M126" s="1">
        <v>45909</v>
      </c>
    </row>
    <row r="127" spans="6:13" x14ac:dyDescent="0.35">
      <c r="L127" s="1">
        <v>45772</v>
      </c>
      <c r="M127" s="1">
        <v>45908</v>
      </c>
    </row>
    <row r="128" spans="6:13" x14ac:dyDescent="0.35">
      <c r="L128" s="1">
        <v>45773</v>
      </c>
      <c r="M128" s="1">
        <v>45907</v>
      </c>
    </row>
    <row r="129" spans="12:13" x14ac:dyDescent="0.35">
      <c r="L129" s="1">
        <v>45774</v>
      </c>
      <c r="M129" s="1">
        <v>45906</v>
      </c>
    </row>
    <row r="130" spans="12:13" x14ac:dyDescent="0.35">
      <c r="L130" s="1">
        <v>45775</v>
      </c>
      <c r="M130" s="1">
        <v>45905</v>
      </c>
    </row>
    <row r="131" spans="12:13" x14ac:dyDescent="0.35">
      <c r="L131" s="1">
        <v>45776</v>
      </c>
      <c r="M131" s="1">
        <v>45904</v>
      </c>
    </row>
    <row r="132" spans="12:13" x14ac:dyDescent="0.35">
      <c r="L132" s="1">
        <v>45777</v>
      </c>
      <c r="M132" s="1">
        <v>45903</v>
      </c>
    </row>
    <row r="133" spans="12:13" x14ac:dyDescent="0.35">
      <c r="L133" s="1">
        <v>45778</v>
      </c>
      <c r="M133" s="1">
        <v>45902</v>
      </c>
    </row>
    <row r="134" spans="12:13" x14ac:dyDescent="0.35">
      <c r="L134" s="1">
        <v>45779</v>
      </c>
      <c r="M134" s="1">
        <v>45901</v>
      </c>
    </row>
    <row r="135" spans="12:13" x14ac:dyDescent="0.35">
      <c r="L135" s="1">
        <v>45780</v>
      </c>
      <c r="M135" s="1">
        <v>45900</v>
      </c>
    </row>
    <row r="136" spans="12:13" x14ac:dyDescent="0.35">
      <c r="L136" s="1">
        <v>45781</v>
      </c>
      <c r="M136" s="1">
        <v>45899</v>
      </c>
    </row>
    <row r="137" spans="12:13" x14ac:dyDescent="0.35">
      <c r="L137" s="1">
        <v>45782</v>
      </c>
      <c r="M137" s="1">
        <v>45898</v>
      </c>
    </row>
    <row r="138" spans="12:13" x14ac:dyDescent="0.35">
      <c r="L138" s="1">
        <v>45783</v>
      </c>
      <c r="M138" s="1">
        <v>45897</v>
      </c>
    </row>
    <row r="139" spans="12:13" x14ac:dyDescent="0.35">
      <c r="L139" s="1">
        <v>45784</v>
      </c>
      <c r="M139" s="1">
        <v>45896</v>
      </c>
    </row>
    <row r="140" spans="12:13" x14ac:dyDescent="0.35">
      <c r="L140" s="1">
        <v>45785</v>
      </c>
      <c r="M140" s="1">
        <v>45895</v>
      </c>
    </row>
    <row r="141" spans="12:13" x14ac:dyDescent="0.35">
      <c r="L141" s="1">
        <v>45786</v>
      </c>
      <c r="M141" s="1">
        <v>45894</v>
      </c>
    </row>
    <row r="142" spans="12:13" x14ac:dyDescent="0.35">
      <c r="L142" s="1">
        <v>45787</v>
      </c>
      <c r="M142" s="1">
        <v>45893</v>
      </c>
    </row>
    <row r="143" spans="12:13" x14ac:dyDescent="0.35">
      <c r="L143" s="1">
        <v>45788</v>
      </c>
      <c r="M143" s="1">
        <v>45892</v>
      </c>
    </row>
    <row r="144" spans="12:13" x14ac:dyDescent="0.35">
      <c r="L144" s="1">
        <v>45789</v>
      </c>
      <c r="M144" s="1">
        <v>45891</v>
      </c>
    </row>
    <row r="145" spans="12:13" x14ac:dyDescent="0.35">
      <c r="L145" s="1">
        <v>45790</v>
      </c>
      <c r="M145" s="1">
        <v>45890</v>
      </c>
    </row>
    <row r="146" spans="12:13" x14ac:dyDescent="0.35">
      <c r="L146" s="1">
        <v>45791</v>
      </c>
      <c r="M146" s="1">
        <v>45889</v>
      </c>
    </row>
    <row r="147" spans="12:13" x14ac:dyDescent="0.35">
      <c r="L147" s="1">
        <v>45792</v>
      </c>
      <c r="M147" s="1">
        <v>45888</v>
      </c>
    </row>
    <row r="148" spans="12:13" x14ac:dyDescent="0.35">
      <c r="L148" s="1">
        <v>45793</v>
      </c>
      <c r="M148" s="1">
        <v>45887</v>
      </c>
    </row>
    <row r="149" spans="12:13" x14ac:dyDescent="0.35">
      <c r="L149" s="1">
        <v>45794</v>
      </c>
      <c r="M149" s="1">
        <v>45886</v>
      </c>
    </row>
    <row r="150" spans="12:13" x14ac:dyDescent="0.35">
      <c r="L150" s="1">
        <v>45795</v>
      </c>
      <c r="M150" s="1">
        <v>45885</v>
      </c>
    </row>
    <row r="151" spans="12:13" x14ac:dyDescent="0.35">
      <c r="L151" s="1">
        <v>45796</v>
      </c>
      <c r="M151" s="1">
        <v>45884</v>
      </c>
    </row>
    <row r="152" spans="12:13" x14ac:dyDescent="0.35">
      <c r="L152" s="1">
        <v>45797</v>
      </c>
      <c r="M152" s="1">
        <v>45883</v>
      </c>
    </row>
    <row r="153" spans="12:13" x14ac:dyDescent="0.35">
      <c r="L153" s="1">
        <v>45798</v>
      </c>
      <c r="M153" s="1">
        <v>45882</v>
      </c>
    </row>
    <row r="154" spans="12:13" x14ac:dyDescent="0.35">
      <c r="L154" s="1">
        <v>45799</v>
      </c>
      <c r="M154" s="1">
        <v>45881</v>
      </c>
    </row>
    <row r="155" spans="12:13" x14ac:dyDescent="0.35">
      <c r="L155" s="1">
        <v>45800</v>
      </c>
      <c r="M155" s="1">
        <v>45880</v>
      </c>
    </row>
    <row r="156" spans="12:13" x14ac:dyDescent="0.35">
      <c r="L156" s="1">
        <v>45801</v>
      </c>
      <c r="M156" s="1">
        <v>45879</v>
      </c>
    </row>
    <row r="157" spans="12:13" x14ac:dyDescent="0.35">
      <c r="L157" s="1">
        <v>45802</v>
      </c>
      <c r="M157" s="1">
        <v>45878</v>
      </c>
    </row>
    <row r="158" spans="12:13" x14ac:dyDescent="0.35">
      <c r="L158" s="1">
        <v>45803</v>
      </c>
      <c r="M158" s="1">
        <v>45877</v>
      </c>
    </row>
    <row r="159" spans="12:13" x14ac:dyDescent="0.35">
      <c r="L159" s="1">
        <v>45804</v>
      </c>
      <c r="M159" s="1">
        <v>45876</v>
      </c>
    </row>
    <row r="160" spans="12:13" x14ac:dyDescent="0.35">
      <c r="L160" s="1">
        <v>45805</v>
      </c>
      <c r="M160" s="1">
        <v>45875</v>
      </c>
    </row>
    <row r="161" spans="12:13" x14ac:dyDescent="0.35">
      <c r="L161" s="1">
        <v>45806</v>
      </c>
      <c r="M161" s="1">
        <v>45874</v>
      </c>
    </row>
    <row r="162" spans="12:13" x14ac:dyDescent="0.35">
      <c r="L162" s="1">
        <v>45807</v>
      </c>
      <c r="M162" s="1">
        <v>45873</v>
      </c>
    </row>
    <row r="163" spans="12:13" x14ac:dyDescent="0.35">
      <c r="L163" s="1">
        <v>45808</v>
      </c>
      <c r="M163" s="1">
        <v>45872</v>
      </c>
    </row>
    <row r="164" spans="12:13" x14ac:dyDescent="0.35">
      <c r="L164" s="1">
        <v>45809</v>
      </c>
      <c r="M164" s="1">
        <v>45871</v>
      </c>
    </row>
    <row r="165" spans="12:13" x14ac:dyDescent="0.35">
      <c r="L165" s="1">
        <v>45810</v>
      </c>
      <c r="M165" s="1">
        <v>45870</v>
      </c>
    </row>
    <row r="166" spans="12:13" x14ac:dyDescent="0.35">
      <c r="L166" s="1">
        <v>45811</v>
      </c>
      <c r="M166" s="1">
        <v>45869</v>
      </c>
    </row>
    <row r="167" spans="12:13" x14ac:dyDescent="0.35">
      <c r="L167" s="1">
        <v>45812</v>
      </c>
      <c r="M167" s="1">
        <v>45868</v>
      </c>
    </row>
    <row r="168" spans="12:13" x14ac:dyDescent="0.35">
      <c r="L168" s="1">
        <v>45813</v>
      </c>
      <c r="M168" s="1">
        <v>45867</v>
      </c>
    </row>
    <row r="169" spans="12:13" x14ac:dyDescent="0.35">
      <c r="L169" s="1">
        <v>45814</v>
      </c>
      <c r="M169" s="1">
        <v>45866</v>
      </c>
    </row>
    <row r="170" spans="12:13" x14ac:dyDescent="0.35">
      <c r="L170" s="1">
        <v>45815</v>
      </c>
      <c r="M170" s="1">
        <v>45865</v>
      </c>
    </row>
    <row r="171" spans="12:13" x14ac:dyDescent="0.35">
      <c r="L171" s="1">
        <v>45816</v>
      </c>
      <c r="M171" s="1">
        <v>45864</v>
      </c>
    </row>
    <row r="172" spans="12:13" x14ac:dyDescent="0.35">
      <c r="L172" s="1">
        <v>45817</v>
      </c>
      <c r="M172" s="1">
        <v>45863</v>
      </c>
    </row>
    <row r="173" spans="12:13" x14ac:dyDescent="0.35">
      <c r="L173" s="1">
        <v>45818</v>
      </c>
      <c r="M173" s="1">
        <v>45862</v>
      </c>
    </row>
    <row r="174" spans="12:13" x14ac:dyDescent="0.35">
      <c r="L174" s="1">
        <v>45819</v>
      </c>
      <c r="M174" s="1">
        <v>45861</v>
      </c>
    </row>
    <row r="175" spans="12:13" x14ac:dyDescent="0.35">
      <c r="L175" s="1">
        <v>45820</v>
      </c>
      <c r="M175" s="1">
        <v>45860</v>
      </c>
    </row>
    <row r="176" spans="12:13" x14ac:dyDescent="0.35">
      <c r="L176" s="1">
        <v>45821</v>
      </c>
      <c r="M176" s="1">
        <v>45859</v>
      </c>
    </row>
    <row r="177" spans="12:13" x14ac:dyDescent="0.35">
      <c r="L177" s="1">
        <v>45822</v>
      </c>
      <c r="M177" s="1">
        <v>45858</v>
      </c>
    </row>
    <row r="178" spans="12:13" x14ac:dyDescent="0.35">
      <c r="L178" s="1">
        <v>45823</v>
      </c>
      <c r="M178" s="1">
        <v>45857</v>
      </c>
    </row>
    <row r="179" spans="12:13" x14ac:dyDescent="0.35">
      <c r="L179" s="1">
        <v>45824</v>
      </c>
      <c r="M179" s="1">
        <v>45856</v>
      </c>
    </row>
    <row r="180" spans="12:13" x14ac:dyDescent="0.35">
      <c r="L180" s="1">
        <v>45825</v>
      </c>
      <c r="M180" s="1">
        <v>45855</v>
      </c>
    </row>
    <row r="181" spans="12:13" x14ac:dyDescent="0.35">
      <c r="L181" s="1">
        <v>45826</v>
      </c>
      <c r="M181" s="1">
        <v>45854</v>
      </c>
    </row>
    <row r="182" spans="12:13" x14ac:dyDescent="0.35">
      <c r="L182" s="1">
        <v>45827</v>
      </c>
      <c r="M182" s="1">
        <v>45853</v>
      </c>
    </row>
    <row r="183" spans="12:13" x14ac:dyDescent="0.35">
      <c r="L183" s="1">
        <v>45828</v>
      </c>
      <c r="M183" s="1">
        <v>45852</v>
      </c>
    </row>
    <row r="184" spans="12:13" x14ac:dyDescent="0.35">
      <c r="L184" s="1">
        <v>45829</v>
      </c>
      <c r="M184" s="1">
        <v>45851</v>
      </c>
    </row>
    <row r="185" spans="12:13" x14ac:dyDescent="0.35">
      <c r="L185" s="1">
        <v>45830</v>
      </c>
      <c r="M185" s="1">
        <v>45850</v>
      </c>
    </row>
    <row r="186" spans="12:13" x14ac:dyDescent="0.35">
      <c r="L186" s="1">
        <v>45831</v>
      </c>
      <c r="M186" s="1">
        <v>45849</v>
      </c>
    </row>
    <row r="187" spans="12:13" x14ac:dyDescent="0.35">
      <c r="L187" s="1">
        <v>45832</v>
      </c>
      <c r="M187" s="1">
        <v>45848</v>
      </c>
    </row>
    <row r="188" spans="12:13" x14ac:dyDescent="0.35">
      <c r="L188" s="1">
        <v>45833</v>
      </c>
      <c r="M188" s="1">
        <v>45847</v>
      </c>
    </row>
    <row r="189" spans="12:13" x14ac:dyDescent="0.35">
      <c r="L189" s="1">
        <v>45834</v>
      </c>
      <c r="M189" s="1">
        <v>45846</v>
      </c>
    </row>
    <row r="190" spans="12:13" x14ac:dyDescent="0.35">
      <c r="L190" s="1">
        <v>45835</v>
      </c>
      <c r="M190" s="1">
        <v>45845</v>
      </c>
    </row>
    <row r="191" spans="12:13" x14ac:dyDescent="0.35">
      <c r="L191" s="1">
        <v>45836</v>
      </c>
      <c r="M191" s="1">
        <v>45844</v>
      </c>
    </row>
    <row r="192" spans="12:13" x14ac:dyDescent="0.35">
      <c r="L192" s="1">
        <v>45837</v>
      </c>
      <c r="M192" s="1">
        <v>45843</v>
      </c>
    </row>
    <row r="193" spans="12:13" x14ac:dyDescent="0.35">
      <c r="L193" s="1">
        <v>45838</v>
      </c>
      <c r="M193" s="1">
        <v>45842</v>
      </c>
    </row>
    <row r="194" spans="12:13" x14ac:dyDescent="0.35">
      <c r="L194" s="1">
        <v>45839</v>
      </c>
      <c r="M194" s="1">
        <v>45841</v>
      </c>
    </row>
    <row r="195" spans="12:13" x14ac:dyDescent="0.35">
      <c r="L195" s="1">
        <v>45840</v>
      </c>
      <c r="M195" s="1">
        <v>45840</v>
      </c>
    </row>
    <row r="196" spans="12:13" x14ac:dyDescent="0.35">
      <c r="L196" s="1">
        <v>45841</v>
      </c>
      <c r="M196" s="1">
        <v>45839</v>
      </c>
    </row>
    <row r="197" spans="12:13" x14ac:dyDescent="0.35">
      <c r="L197" s="1">
        <v>45842</v>
      </c>
      <c r="M197" s="1">
        <v>45838</v>
      </c>
    </row>
    <row r="198" spans="12:13" x14ac:dyDescent="0.35">
      <c r="L198" s="1">
        <v>45843</v>
      </c>
      <c r="M198" s="1">
        <v>45837</v>
      </c>
    </row>
    <row r="199" spans="12:13" x14ac:dyDescent="0.35">
      <c r="L199" s="1">
        <v>45844</v>
      </c>
      <c r="M199" s="1">
        <v>45836</v>
      </c>
    </row>
    <row r="200" spans="12:13" x14ac:dyDescent="0.35">
      <c r="L200" s="1">
        <v>45845</v>
      </c>
      <c r="M200" s="1">
        <v>45835</v>
      </c>
    </row>
    <row r="201" spans="12:13" x14ac:dyDescent="0.35">
      <c r="L201" s="1">
        <v>45846</v>
      </c>
      <c r="M201" s="1">
        <v>45834</v>
      </c>
    </row>
    <row r="202" spans="12:13" x14ac:dyDescent="0.35">
      <c r="L202" s="1">
        <v>45847</v>
      </c>
      <c r="M202" s="1">
        <v>45833</v>
      </c>
    </row>
    <row r="203" spans="12:13" x14ac:dyDescent="0.35">
      <c r="L203" s="1">
        <v>45848</v>
      </c>
      <c r="M203" s="1">
        <v>45832</v>
      </c>
    </row>
    <row r="204" spans="12:13" x14ac:dyDescent="0.35">
      <c r="L204" s="1">
        <v>45849</v>
      </c>
      <c r="M204" s="1">
        <v>45831</v>
      </c>
    </row>
    <row r="205" spans="12:13" x14ac:dyDescent="0.35">
      <c r="L205" s="1">
        <v>45850</v>
      </c>
      <c r="M205" s="1">
        <v>45830</v>
      </c>
    </row>
    <row r="206" spans="12:13" x14ac:dyDescent="0.35">
      <c r="L206" s="1">
        <v>45851</v>
      </c>
      <c r="M206" s="1">
        <v>45829</v>
      </c>
    </row>
    <row r="207" spans="12:13" x14ac:dyDescent="0.35">
      <c r="L207" s="1">
        <v>45852</v>
      </c>
      <c r="M207" s="1">
        <v>45828</v>
      </c>
    </row>
    <row r="208" spans="12:13" x14ac:dyDescent="0.35">
      <c r="L208" s="1">
        <v>45853</v>
      </c>
      <c r="M208" s="1">
        <v>45827</v>
      </c>
    </row>
    <row r="209" spans="12:13" x14ac:dyDescent="0.35">
      <c r="L209" s="1">
        <v>45854</v>
      </c>
      <c r="M209" s="1">
        <v>45826</v>
      </c>
    </row>
    <row r="210" spans="12:13" x14ac:dyDescent="0.35">
      <c r="L210" s="1">
        <v>45855</v>
      </c>
      <c r="M210" s="1">
        <v>45825</v>
      </c>
    </row>
    <row r="211" spans="12:13" x14ac:dyDescent="0.35">
      <c r="L211" s="1">
        <v>45856</v>
      </c>
      <c r="M211" s="1">
        <v>45824</v>
      </c>
    </row>
    <row r="212" spans="12:13" x14ac:dyDescent="0.35">
      <c r="L212" s="1">
        <v>45857</v>
      </c>
      <c r="M212" s="1">
        <v>45823</v>
      </c>
    </row>
    <row r="213" spans="12:13" x14ac:dyDescent="0.35">
      <c r="L213" s="1">
        <v>45858</v>
      </c>
      <c r="M213" s="1">
        <v>45822</v>
      </c>
    </row>
    <row r="214" spans="12:13" x14ac:dyDescent="0.35">
      <c r="L214" s="1">
        <v>45859</v>
      </c>
      <c r="M214" s="1">
        <v>45821</v>
      </c>
    </row>
    <row r="215" spans="12:13" x14ac:dyDescent="0.35">
      <c r="L215" s="1">
        <v>45860</v>
      </c>
      <c r="M215" s="1">
        <v>45820</v>
      </c>
    </row>
    <row r="216" spans="12:13" x14ac:dyDescent="0.35">
      <c r="L216" s="1">
        <v>45861</v>
      </c>
      <c r="M216" s="1">
        <v>45819</v>
      </c>
    </row>
    <row r="217" spans="12:13" x14ac:dyDescent="0.35">
      <c r="L217" s="1">
        <v>45862</v>
      </c>
      <c r="M217" s="1">
        <v>45818</v>
      </c>
    </row>
    <row r="218" spans="12:13" x14ac:dyDescent="0.35">
      <c r="L218" s="1">
        <v>45863</v>
      </c>
      <c r="M218" s="1">
        <v>45817</v>
      </c>
    </row>
    <row r="219" spans="12:13" x14ac:dyDescent="0.35">
      <c r="L219" s="1">
        <v>45864</v>
      </c>
      <c r="M219" s="1">
        <v>45816</v>
      </c>
    </row>
    <row r="220" spans="12:13" x14ac:dyDescent="0.35">
      <c r="L220" s="1">
        <v>45865</v>
      </c>
      <c r="M220" s="1">
        <v>45815</v>
      </c>
    </row>
    <row r="221" spans="12:13" x14ac:dyDescent="0.35">
      <c r="L221" s="1">
        <v>45866</v>
      </c>
      <c r="M221" s="1">
        <v>45814</v>
      </c>
    </row>
    <row r="222" spans="12:13" x14ac:dyDescent="0.35">
      <c r="L222" s="1">
        <v>45867</v>
      </c>
      <c r="M222" s="1">
        <v>45813</v>
      </c>
    </row>
    <row r="223" spans="12:13" x14ac:dyDescent="0.35">
      <c r="L223" s="1">
        <v>45868</v>
      </c>
      <c r="M223" s="1">
        <v>45812</v>
      </c>
    </row>
    <row r="224" spans="12:13" x14ac:dyDescent="0.35">
      <c r="L224" s="1">
        <v>45869</v>
      </c>
      <c r="M224" s="1">
        <v>45811</v>
      </c>
    </row>
    <row r="225" spans="12:13" x14ac:dyDescent="0.35">
      <c r="L225" s="1">
        <v>45870</v>
      </c>
      <c r="M225" s="1">
        <v>45810</v>
      </c>
    </row>
    <row r="226" spans="12:13" x14ac:dyDescent="0.35">
      <c r="L226" s="1">
        <v>45871</v>
      </c>
      <c r="M226" s="1">
        <v>45809</v>
      </c>
    </row>
    <row r="227" spans="12:13" x14ac:dyDescent="0.35">
      <c r="L227" s="1">
        <v>45872</v>
      </c>
      <c r="M227" s="1">
        <v>45808</v>
      </c>
    </row>
    <row r="228" spans="12:13" x14ac:dyDescent="0.35">
      <c r="L228" s="1">
        <v>45873</v>
      </c>
      <c r="M228" s="1">
        <v>45807</v>
      </c>
    </row>
    <row r="229" spans="12:13" x14ac:dyDescent="0.35">
      <c r="L229" s="1">
        <v>45874</v>
      </c>
      <c r="M229" s="1">
        <v>45806</v>
      </c>
    </row>
    <row r="230" spans="12:13" x14ac:dyDescent="0.35">
      <c r="L230" s="1">
        <v>45875</v>
      </c>
      <c r="M230" s="1">
        <v>45805</v>
      </c>
    </row>
    <row r="231" spans="12:13" x14ac:dyDescent="0.35">
      <c r="L231" s="1">
        <v>45876</v>
      </c>
      <c r="M231" s="1">
        <v>45804</v>
      </c>
    </row>
    <row r="232" spans="12:13" x14ac:dyDescent="0.35">
      <c r="L232" s="1">
        <v>45877</v>
      </c>
      <c r="M232" s="1">
        <v>45803</v>
      </c>
    </row>
    <row r="233" spans="12:13" x14ac:dyDescent="0.35">
      <c r="L233" s="1">
        <v>45878</v>
      </c>
      <c r="M233" s="1">
        <v>45802</v>
      </c>
    </row>
    <row r="234" spans="12:13" x14ac:dyDescent="0.35">
      <c r="L234" s="1">
        <v>45879</v>
      </c>
      <c r="M234" s="1">
        <v>45801</v>
      </c>
    </row>
    <row r="235" spans="12:13" x14ac:dyDescent="0.35">
      <c r="L235" s="1">
        <v>45880</v>
      </c>
      <c r="M235" s="1">
        <v>45800</v>
      </c>
    </row>
    <row r="236" spans="12:13" x14ac:dyDescent="0.35">
      <c r="L236" s="1">
        <v>45881</v>
      </c>
      <c r="M236" s="1">
        <v>45799</v>
      </c>
    </row>
    <row r="237" spans="12:13" x14ac:dyDescent="0.35">
      <c r="L237" s="1">
        <v>45882</v>
      </c>
      <c r="M237" s="1">
        <v>45798</v>
      </c>
    </row>
    <row r="238" spans="12:13" x14ac:dyDescent="0.35">
      <c r="L238" s="1">
        <v>45883</v>
      </c>
      <c r="M238" s="1">
        <v>45797</v>
      </c>
    </row>
    <row r="239" spans="12:13" x14ac:dyDescent="0.35">
      <c r="L239" s="1">
        <v>45884</v>
      </c>
      <c r="M239" s="1">
        <v>45796</v>
      </c>
    </row>
    <row r="240" spans="12:13" x14ac:dyDescent="0.35">
      <c r="L240" s="1">
        <v>45885</v>
      </c>
      <c r="M240" s="1">
        <v>45795</v>
      </c>
    </row>
    <row r="241" spans="12:13" x14ac:dyDescent="0.35">
      <c r="L241" s="1">
        <v>45886</v>
      </c>
      <c r="M241" s="1">
        <v>45794</v>
      </c>
    </row>
    <row r="242" spans="12:13" x14ac:dyDescent="0.35">
      <c r="L242" s="1">
        <v>45887</v>
      </c>
      <c r="M242" s="1">
        <v>45793</v>
      </c>
    </row>
    <row r="243" spans="12:13" x14ac:dyDescent="0.35">
      <c r="L243" s="1">
        <v>45888</v>
      </c>
      <c r="M243" s="1">
        <v>45792</v>
      </c>
    </row>
    <row r="244" spans="12:13" x14ac:dyDescent="0.35">
      <c r="L244" s="1">
        <v>45889</v>
      </c>
      <c r="M244" s="1">
        <v>45791</v>
      </c>
    </row>
    <row r="245" spans="12:13" x14ac:dyDescent="0.35">
      <c r="L245" s="1">
        <v>45890</v>
      </c>
      <c r="M245" s="1">
        <v>45790</v>
      </c>
    </row>
    <row r="246" spans="12:13" x14ac:dyDescent="0.35">
      <c r="L246" s="1">
        <v>45891</v>
      </c>
      <c r="M246" s="1">
        <v>45789</v>
      </c>
    </row>
    <row r="247" spans="12:13" x14ac:dyDescent="0.35">
      <c r="L247" s="1">
        <v>45892</v>
      </c>
      <c r="M247" s="1">
        <v>45788</v>
      </c>
    </row>
    <row r="248" spans="12:13" x14ac:dyDescent="0.35">
      <c r="L248" s="1">
        <v>45893</v>
      </c>
      <c r="M248" s="1">
        <v>45787</v>
      </c>
    </row>
    <row r="249" spans="12:13" x14ac:dyDescent="0.35">
      <c r="L249" s="1">
        <v>45894</v>
      </c>
      <c r="M249" s="1">
        <v>45786</v>
      </c>
    </row>
    <row r="250" spans="12:13" x14ac:dyDescent="0.35">
      <c r="L250" s="1">
        <v>45895</v>
      </c>
      <c r="M250" s="1">
        <v>45785</v>
      </c>
    </row>
    <row r="251" spans="12:13" x14ac:dyDescent="0.35">
      <c r="L251" s="1">
        <v>45896</v>
      </c>
      <c r="M251" s="1">
        <v>45784</v>
      </c>
    </row>
    <row r="252" spans="12:13" x14ac:dyDescent="0.35">
      <c r="L252" s="1">
        <v>45897</v>
      </c>
      <c r="M252" s="1">
        <v>45783</v>
      </c>
    </row>
    <row r="253" spans="12:13" x14ac:dyDescent="0.35">
      <c r="L253" s="1">
        <v>45898</v>
      </c>
      <c r="M253" s="1">
        <v>45782</v>
      </c>
    </row>
    <row r="254" spans="12:13" x14ac:dyDescent="0.35">
      <c r="L254" s="1">
        <v>45899</v>
      </c>
      <c r="M254" s="1">
        <v>45781</v>
      </c>
    </row>
    <row r="255" spans="12:13" x14ac:dyDescent="0.35">
      <c r="L255" s="1">
        <v>45900</v>
      </c>
      <c r="M255" s="1">
        <v>45780</v>
      </c>
    </row>
    <row r="256" spans="12:13" x14ac:dyDescent="0.35">
      <c r="L256" s="1">
        <v>45901</v>
      </c>
      <c r="M256" s="1">
        <v>45779</v>
      </c>
    </row>
    <row r="257" spans="12:13" x14ac:dyDescent="0.35">
      <c r="L257" s="1">
        <v>45902</v>
      </c>
      <c r="M257" s="1">
        <v>45778</v>
      </c>
    </row>
    <row r="258" spans="12:13" x14ac:dyDescent="0.35">
      <c r="L258" s="1">
        <v>45903</v>
      </c>
      <c r="M258" s="1">
        <v>45777</v>
      </c>
    </row>
    <row r="259" spans="12:13" x14ac:dyDescent="0.35">
      <c r="L259" s="1">
        <v>45904</v>
      </c>
      <c r="M259" s="1">
        <v>45776</v>
      </c>
    </row>
    <row r="260" spans="12:13" x14ac:dyDescent="0.35">
      <c r="L260" s="1">
        <v>45905</v>
      </c>
      <c r="M260" s="1">
        <v>45775</v>
      </c>
    </row>
    <row r="261" spans="12:13" x14ac:dyDescent="0.35">
      <c r="L261" s="1">
        <v>45906</v>
      </c>
      <c r="M261" s="1">
        <v>45774</v>
      </c>
    </row>
    <row r="262" spans="12:13" x14ac:dyDescent="0.35">
      <c r="L262" s="1">
        <v>45907</v>
      </c>
      <c r="M262" s="1">
        <v>45773</v>
      </c>
    </row>
    <row r="263" spans="12:13" x14ac:dyDescent="0.35">
      <c r="L263" s="1">
        <v>45908</v>
      </c>
      <c r="M263" s="1">
        <v>45772</v>
      </c>
    </row>
    <row r="264" spans="12:13" x14ac:dyDescent="0.35">
      <c r="L264" s="1">
        <v>45909</v>
      </c>
      <c r="M264" s="1">
        <v>45771</v>
      </c>
    </row>
    <row r="265" spans="12:13" x14ac:dyDescent="0.35">
      <c r="L265" s="1">
        <v>45910</v>
      </c>
      <c r="M265" s="1">
        <v>45770</v>
      </c>
    </row>
    <row r="266" spans="12:13" x14ac:dyDescent="0.35">
      <c r="L266" s="1">
        <v>45911</v>
      </c>
      <c r="M266" s="1">
        <v>45769</v>
      </c>
    </row>
    <row r="267" spans="12:13" x14ac:dyDescent="0.35">
      <c r="L267" s="1">
        <v>45912</v>
      </c>
      <c r="M267" s="1">
        <v>45768</v>
      </c>
    </row>
    <row r="268" spans="12:13" x14ac:dyDescent="0.35">
      <c r="L268" s="1">
        <v>45913</v>
      </c>
      <c r="M268" s="1">
        <v>45767</v>
      </c>
    </row>
    <row r="269" spans="12:13" x14ac:dyDescent="0.35">
      <c r="L269" s="1">
        <v>45914</v>
      </c>
      <c r="M269" s="1">
        <v>45766</v>
      </c>
    </row>
    <row r="270" spans="12:13" x14ac:dyDescent="0.35">
      <c r="L270" s="1">
        <v>45915</v>
      </c>
      <c r="M270" s="1">
        <v>45765</v>
      </c>
    </row>
    <row r="271" spans="12:13" x14ac:dyDescent="0.35">
      <c r="L271" s="1">
        <v>45916</v>
      </c>
      <c r="M271" s="1">
        <v>45764</v>
      </c>
    </row>
    <row r="272" spans="12:13" x14ac:dyDescent="0.35">
      <c r="L272" s="1">
        <v>45917</v>
      </c>
      <c r="M272" s="1">
        <v>45763</v>
      </c>
    </row>
    <row r="273" spans="12:13" x14ac:dyDescent="0.35">
      <c r="L273" s="1">
        <v>45918</v>
      </c>
      <c r="M273" s="1">
        <v>45762</v>
      </c>
    </row>
    <row r="274" spans="12:13" x14ac:dyDescent="0.35">
      <c r="L274" s="1">
        <v>45919</v>
      </c>
      <c r="M274" s="1">
        <v>45761</v>
      </c>
    </row>
    <row r="275" spans="12:13" x14ac:dyDescent="0.35">
      <c r="L275" s="1">
        <v>45920</v>
      </c>
      <c r="M275" s="1">
        <v>45760</v>
      </c>
    </row>
    <row r="276" spans="12:13" x14ac:dyDescent="0.35">
      <c r="L276" s="1">
        <v>45921</v>
      </c>
      <c r="M276" s="1">
        <v>45759</v>
      </c>
    </row>
    <row r="277" spans="12:13" x14ac:dyDescent="0.35">
      <c r="L277" s="1">
        <v>45922</v>
      </c>
      <c r="M277" s="1">
        <v>45758</v>
      </c>
    </row>
    <row r="278" spans="12:13" x14ac:dyDescent="0.35">
      <c r="L278" s="1">
        <v>45923</v>
      </c>
      <c r="M278" s="1">
        <v>45757</v>
      </c>
    </row>
    <row r="279" spans="12:13" x14ac:dyDescent="0.35">
      <c r="L279" s="1">
        <v>45924</v>
      </c>
      <c r="M279" s="1">
        <v>45756</v>
      </c>
    </row>
    <row r="280" spans="12:13" x14ac:dyDescent="0.35">
      <c r="L280" s="1">
        <v>45925</v>
      </c>
      <c r="M280" s="1">
        <v>45755</v>
      </c>
    </row>
    <row r="281" spans="12:13" x14ac:dyDescent="0.35">
      <c r="L281" s="1">
        <v>45926</v>
      </c>
      <c r="M281" s="1">
        <v>45754</v>
      </c>
    </row>
    <row r="282" spans="12:13" x14ac:dyDescent="0.35">
      <c r="L282" s="1">
        <v>45927</v>
      </c>
      <c r="M282" s="1">
        <v>45753</v>
      </c>
    </row>
    <row r="283" spans="12:13" x14ac:dyDescent="0.35">
      <c r="L283" s="1">
        <v>45928</v>
      </c>
      <c r="M283" s="1">
        <v>45752</v>
      </c>
    </row>
    <row r="284" spans="12:13" x14ac:dyDescent="0.35">
      <c r="L284" s="1">
        <v>45929</v>
      </c>
      <c r="M284" s="1">
        <v>45751</v>
      </c>
    </row>
    <row r="285" spans="12:13" x14ac:dyDescent="0.35">
      <c r="L285" s="1">
        <v>45930</v>
      </c>
      <c r="M285" s="1">
        <v>45750</v>
      </c>
    </row>
    <row r="286" spans="12:13" x14ac:dyDescent="0.35">
      <c r="L286" s="1">
        <v>45931</v>
      </c>
      <c r="M286" s="1">
        <v>45749</v>
      </c>
    </row>
    <row r="287" spans="12:13" x14ac:dyDescent="0.35">
      <c r="L287" s="1">
        <v>45932</v>
      </c>
      <c r="M287" s="1">
        <v>45748</v>
      </c>
    </row>
    <row r="288" spans="12:13" x14ac:dyDescent="0.35">
      <c r="L288" s="1">
        <v>45933</v>
      </c>
      <c r="M288" s="1">
        <v>45747</v>
      </c>
    </row>
    <row r="289" spans="12:13" x14ac:dyDescent="0.35">
      <c r="L289" s="1">
        <v>45934</v>
      </c>
      <c r="M289" s="1">
        <v>45746</v>
      </c>
    </row>
    <row r="290" spans="12:13" x14ac:dyDescent="0.35">
      <c r="L290" s="1">
        <v>45935</v>
      </c>
      <c r="M290" s="1">
        <v>45745</v>
      </c>
    </row>
    <row r="291" spans="12:13" x14ac:dyDescent="0.35">
      <c r="L291" s="1">
        <v>45936</v>
      </c>
      <c r="M291" s="1">
        <v>45744</v>
      </c>
    </row>
    <row r="292" spans="12:13" x14ac:dyDescent="0.35">
      <c r="L292" s="1">
        <v>45937</v>
      </c>
      <c r="M292" s="1">
        <v>45743</v>
      </c>
    </row>
    <row r="293" spans="12:13" x14ac:dyDescent="0.35">
      <c r="L293" s="1">
        <v>45938</v>
      </c>
      <c r="M293" s="1">
        <v>45742</v>
      </c>
    </row>
    <row r="294" spans="12:13" x14ac:dyDescent="0.35">
      <c r="L294" s="1">
        <v>45939</v>
      </c>
      <c r="M294" s="1">
        <v>45741</v>
      </c>
    </row>
    <row r="295" spans="12:13" x14ac:dyDescent="0.35">
      <c r="L295" s="1">
        <v>45940</v>
      </c>
      <c r="M295" s="1">
        <v>45740</v>
      </c>
    </row>
    <row r="296" spans="12:13" x14ac:dyDescent="0.35">
      <c r="L296" s="1">
        <v>45941</v>
      </c>
      <c r="M296" s="1">
        <v>45739</v>
      </c>
    </row>
    <row r="297" spans="12:13" x14ac:dyDescent="0.35">
      <c r="L297" s="1">
        <v>45942</v>
      </c>
      <c r="M297" s="1">
        <v>45738</v>
      </c>
    </row>
    <row r="298" spans="12:13" x14ac:dyDescent="0.35">
      <c r="L298" s="1">
        <v>45943</v>
      </c>
      <c r="M298" s="1">
        <v>45737</v>
      </c>
    </row>
    <row r="299" spans="12:13" x14ac:dyDescent="0.35">
      <c r="L299" s="1">
        <v>45944</v>
      </c>
      <c r="M299" s="1">
        <v>45736</v>
      </c>
    </row>
    <row r="300" spans="12:13" x14ac:dyDescent="0.35">
      <c r="L300" s="1">
        <v>45945</v>
      </c>
      <c r="M300" s="1">
        <v>45735</v>
      </c>
    </row>
    <row r="301" spans="12:13" x14ac:dyDescent="0.35">
      <c r="L301" s="1">
        <v>45946</v>
      </c>
      <c r="M301" s="1">
        <v>45734</v>
      </c>
    </row>
    <row r="302" spans="12:13" x14ac:dyDescent="0.35">
      <c r="L302" s="1">
        <v>45947</v>
      </c>
      <c r="M302" s="1">
        <v>45733</v>
      </c>
    </row>
    <row r="303" spans="12:13" x14ac:dyDescent="0.35">
      <c r="L303" s="1">
        <v>45948</v>
      </c>
      <c r="M303" s="1">
        <v>45732</v>
      </c>
    </row>
    <row r="304" spans="12:13" x14ac:dyDescent="0.35">
      <c r="L304" s="1">
        <v>45949</v>
      </c>
      <c r="M304" s="1">
        <v>45731</v>
      </c>
    </row>
    <row r="305" spans="12:13" x14ac:dyDescent="0.35">
      <c r="L305" s="1">
        <v>45950</v>
      </c>
      <c r="M305" s="1">
        <v>45730</v>
      </c>
    </row>
    <row r="306" spans="12:13" x14ac:dyDescent="0.35">
      <c r="L306" s="1">
        <v>45951</v>
      </c>
      <c r="M306" s="1">
        <v>45729</v>
      </c>
    </row>
    <row r="307" spans="12:13" x14ac:dyDescent="0.35">
      <c r="L307" s="1">
        <v>45952</v>
      </c>
      <c r="M307" s="1">
        <v>45728</v>
      </c>
    </row>
    <row r="308" spans="12:13" x14ac:dyDescent="0.35">
      <c r="L308" s="1">
        <v>45953</v>
      </c>
      <c r="M308" s="1">
        <v>45727</v>
      </c>
    </row>
    <row r="309" spans="12:13" x14ac:dyDescent="0.35">
      <c r="L309" s="1">
        <v>45954</v>
      </c>
      <c r="M309" s="1">
        <v>45726</v>
      </c>
    </row>
    <row r="310" spans="12:13" x14ac:dyDescent="0.35">
      <c r="L310" s="1">
        <v>45955</v>
      </c>
      <c r="M310" s="1">
        <v>45725</v>
      </c>
    </row>
    <row r="311" spans="12:13" x14ac:dyDescent="0.35">
      <c r="L311" s="1">
        <v>45956</v>
      </c>
      <c r="M311" s="1">
        <v>45724</v>
      </c>
    </row>
    <row r="312" spans="12:13" x14ac:dyDescent="0.35">
      <c r="L312" s="1">
        <v>45957</v>
      </c>
      <c r="M312" s="1">
        <v>45723</v>
      </c>
    </row>
    <row r="313" spans="12:13" x14ac:dyDescent="0.35">
      <c r="L313" s="1">
        <v>45958</v>
      </c>
      <c r="M313" s="1">
        <v>45722</v>
      </c>
    </row>
    <row r="314" spans="12:13" x14ac:dyDescent="0.35">
      <c r="L314" s="1">
        <v>45959</v>
      </c>
      <c r="M314" s="1">
        <v>45721</v>
      </c>
    </row>
    <row r="315" spans="12:13" x14ac:dyDescent="0.35">
      <c r="L315" s="1">
        <v>45960</v>
      </c>
      <c r="M315" s="1">
        <v>45720</v>
      </c>
    </row>
    <row r="316" spans="12:13" x14ac:dyDescent="0.35">
      <c r="L316" s="1">
        <v>45961</v>
      </c>
      <c r="M316" s="1">
        <v>45719</v>
      </c>
    </row>
    <row r="317" spans="12:13" x14ac:dyDescent="0.35">
      <c r="L317" s="1">
        <v>45962</v>
      </c>
      <c r="M317" s="1">
        <v>45718</v>
      </c>
    </row>
    <row r="318" spans="12:13" x14ac:dyDescent="0.35">
      <c r="L318" s="1">
        <v>45963</v>
      </c>
      <c r="M318" s="1">
        <v>45717</v>
      </c>
    </row>
    <row r="319" spans="12:13" x14ac:dyDescent="0.35">
      <c r="L319" s="1">
        <v>45964</v>
      </c>
      <c r="M319" s="1">
        <v>45716</v>
      </c>
    </row>
    <row r="320" spans="12:13" x14ac:dyDescent="0.35">
      <c r="L320" s="1">
        <v>45965</v>
      </c>
      <c r="M320" s="1">
        <v>45715</v>
      </c>
    </row>
    <row r="321" spans="12:13" x14ac:dyDescent="0.35">
      <c r="L321" s="1">
        <v>45966</v>
      </c>
      <c r="M321" s="1">
        <v>45714</v>
      </c>
    </row>
    <row r="322" spans="12:13" x14ac:dyDescent="0.35">
      <c r="L322" s="1">
        <v>45967</v>
      </c>
      <c r="M322" s="1">
        <v>45713</v>
      </c>
    </row>
    <row r="323" spans="12:13" x14ac:dyDescent="0.35">
      <c r="L323" s="1">
        <v>45968</v>
      </c>
      <c r="M323" s="1">
        <v>45712</v>
      </c>
    </row>
    <row r="324" spans="12:13" x14ac:dyDescent="0.35">
      <c r="L324" s="1">
        <v>45969</v>
      </c>
      <c r="M324" s="1">
        <v>45711</v>
      </c>
    </row>
    <row r="325" spans="12:13" x14ac:dyDescent="0.35">
      <c r="L325" s="1">
        <v>45970</v>
      </c>
      <c r="M325" s="1">
        <v>45710</v>
      </c>
    </row>
    <row r="326" spans="12:13" x14ac:dyDescent="0.35">
      <c r="L326" s="1">
        <v>45971</v>
      </c>
      <c r="M326" s="1">
        <v>45709</v>
      </c>
    </row>
    <row r="327" spans="12:13" x14ac:dyDescent="0.35">
      <c r="L327" s="1">
        <v>45972</v>
      </c>
      <c r="M327" s="1">
        <v>45708</v>
      </c>
    </row>
    <row r="328" spans="12:13" x14ac:dyDescent="0.35">
      <c r="L328" s="1">
        <v>45973</v>
      </c>
      <c r="M328" s="1">
        <v>45707</v>
      </c>
    </row>
    <row r="329" spans="12:13" x14ac:dyDescent="0.35">
      <c r="L329" s="1">
        <v>45974</v>
      </c>
      <c r="M329" s="1">
        <v>45706</v>
      </c>
    </row>
    <row r="330" spans="12:13" x14ac:dyDescent="0.35">
      <c r="L330" s="1">
        <v>45975</v>
      </c>
      <c r="M330" s="1">
        <v>45705</v>
      </c>
    </row>
    <row r="331" spans="12:13" x14ac:dyDescent="0.35">
      <c r="L331" s="1">
        <v>45976</v>
      </c>
      <c r="M331" s="1">
        <v>45704</v>
      </c>
    </row>
    <row r="332" spans="12:13" x14ac:dyDescent="0.35">
      <c r="L332" s="1">
        <v>45977</v>
      </c>
      <c r="M332" s="1">
        <v>45703</v>
      </c>
    </row>
    <row r="333" spans="12:13" x14ac:dyDescent="0.35">
      <c r="L333" s="1">
        <v>45978</v>
      </c>
      <c r="M333" s="1">
        <v>45702</v>
      </c>
    </row>
    <row r="334" spans="12:13" x14ac:dyDescent="0.35">
      <c r="L334" s="1">
        <v>45979</v>
      </c>
      <c r="M334" s="1">
        <v>45701</v>
      </c>
    </row>
    <row r="335" spans="12:13" x14ac:dyDescent="0.35">
      <c r="L335" s="1">
        <v>45980</v>
      </c>
      <c r="M335" s="1">
        <v>45700</v>
      </c>
    </row>
    <row r="336" spans="12:13" x14ac:dyDescent="0.35">
      <c r="L336" s="1">
        <v>45981</v>
      </c>
      <c r="M336" s="1">
        <v>45699</v>
      </c>
    </row>
    <row r="337" spans="12:13" x14ac:dyDescent="0.35">
      <c r="L337" s="1">
        <v>45982</v>
      </c>
      <c r="M337" s="1">
        <v>45698</v>
      </c>
    </row>
    <row r="338" spans="12:13" x14ac:dyDescent="0.35">
      <c r="L338" s="1">
        <v>45983</v>
      </c>
      <c r="M338" s="1">
        <v>45697</v>
      </c>
    </row>
    <row r="339" spans="12:13" x14ac:dyDescent="0.35">
      <c r="L339" s="1">
        <v>45984</v>
      </c>
      <c r="M339" s="1">
        <v>45696</v>
      </c>
    </row>
    <row r="340" spans="12:13" x14ac:dyDescent="0.35">
      <c r="L340" s="1">
        <v>45985</v>
      </c>
      <c r="M340" s="1">
        <v>45695</v>
      </c>
    </row>
    <row r="341" spans="12:13" x14ac:dyDescent="0.35">
      <c r="L341" s="1">
        <v>45986</v>
      </c>
      <c r="M341" s="1">
        <v>45694</v>
      </c>
    </row>
    <row r="342" spans="12:13" x14ac:dyDescent="0.35">
      <c r="L342" s="1">
        <v>45987</v>
      </c>
      <c r="M342" s="1">
        <v>45693</v>
      </c>
    </row>
    <row r="343" spans="12:13" x14ac:dyDescent="0.35">
      <c r="L343" s="1">
        <v>45988</v>
      </c>
      <c r="M343" s="1">
        <v>45692</v>
      </c>
    </row>
    <row r="344" spans="12:13" x14ac:dyDescent="0.35">
      <c r="L344" s="1">
        <v>45989</v>
      </c>
      <c r="M344" s="1">
        <v>45691</v>
      </c>
    </row>
    <row r="345" spans="12:13" x14ac:dyDescent="0.35">
      <c r="L345" s="1">
        <v>45990</v>
      </c>
      <c r="M345" s="1">
        <v>45690</v>
      </c>
    </row>
    <row r="346" spans="12:13" x14ac:dyDescent="0.35">
      <c r="L346" s="1">
        <v>45991</v>
      </c>
      <c r="M346" s="1">
        <v>45689</v>
      </c>
    </row>
    <row r="347" spans="12:13" x14ac:dyDescent="0.35">
      <c r="L347" s="1">
        <v>45992</v>
      </c>
      <c r="M347" s="1">
        <v>45688</v>
      </c>
    </row>
    <row r="348" spans="12:13" x14ac:dyDescent="0.35">
      <c r="L348" s="1">
        <v>45993</v>
      </c>
      <c r="M348" s="1">
        <v>45687</v>
      </c>
    </row>
    <row r="349" spans="12:13" x14ac:dyDescent="0.35">
      <c r="L349" s="1">
        <v>45994</v>
      </c>
      <c r="M349" s="1">
        <v>45686</v>
      </c>
    </row>
    <row r="350" spans="12:13" x14ac:dyDescent="0.35">
      <c r="L350" s="1">
        <v>45995</v>
      </c>
      <c r="M350" s="1">
        <v>45685</v>
      </c>
    </row>
    <row r="351" spans="12:13" x14ac:dyDescent="0.35">
      <c r="L351" s="1">
        <v>45996</v>
      </c>
      <c r="M351" s="1">
        <v>45684</v>
      </c>
    </row>
    <row r="352" spans="12:13" x14ac:dyDescent="0.35">
      <c r="L352" s="1">
        <v>45997</v>
      </c>
      <c r="M352" s="1">
        <v>45683</v>
      </c>
    </row>
    <row r="353" spans="12:13" x14ac:dyDescent="0.35">
      <c r="L353" s="1">
        <v>45998</v>
      </c>
      <c r="M353" s="1">
        <v>45682</v>
      </c>
    </row>
    <row r="354" spans="12:13" x14ac:dyDescent="0.35">
      <c r="L354" s="1">
        <v>45999</v>
      </c>
      <c r="M354" s="1">
        <v>45681</v>
      </c>
    </row>
    <row r="355" spans="12:13" x14ac:dyDescent="0.35">
      <c r="L355" s="1">
        <v>46000</v>
      </c>
      <c r="M355" s="1">
        <v>45680</v>
      </c>
    </row>
    <row r="356" spans="12:13" x14ac:dyDescent="0.35">
      <c r="L356" s="1">
        <v>46001</v>
      </c>
      <c r="M356" s="1">
        <v>45679</v>
      </c>
    </row>
    <row r="357" spans="12:13" x14ac:dyDescent="0.35">
      <c r="L357" s="1">
        <v>46002</v>
      </c>
      <c r="M357" s="1">
        <v>45678</v>
      </c>
    </row>
    <row r="358" spans="12:13" x14ac:dyDescent="0.35">
      <c r="L358" s="1">
        <v>46003</v>
      </c>
      <c r="M358" s="1">
        <v>45677</v>
      </c>
    </row>
    <row r="359" spans="12:13" x14ac:dyDescent="0.35">
      <c r="L359" s="1">
        <v>46004</v>
      </c>
      <c r="M359" s="1">
        <v>45676</v>
      </c>
    </row>
    <row r="360" spans="12:13" x14ac:dyDescent="0.35">
      <c r="L360" s="1">
        <v>46005</v>
      </c>
      <c r="M360" s="1">
        <v>45675</v>
      </c>
    </row>
    <row r="361" spans="12:13" x14ac:dyDescent="0.35">
      <c r="L361" s="1">
        <v>46006</v>
      </c>
      <c r="M361" s="1">
        <v>45674</v>
      </c>
    </row>
    <row r="362" spans="12:13" x14ac:dyDescent="0.35">
      <c r="L362" s="1">
        <v>46007</v>
      </c>
      <c r="M362" s="1">
        <v>45673</v>
      </c>
    </row>
    <row r="363" spans="12:13" x14ac:dyDescent="0.35">
      <c r="L363" s="1">
        <v>46008</v>
      </c>
      <c r="M363" s="1">
        <v>45672</v>
      </c>
    </row>
    <row r="364" spans="12:13" x14ac:dyDescent="0.35">
      <c r="L364" s="1">
        <v>46009</v>
      </c>
      <c r="M364" s="1">
        <v>45671</v>
      </c>
    </row>
    <row r="365" spans="12:13" x14ac:dyDescent="0.35">
      <c r="L365" s="1">
        <v>46010</v>
      </c>
      <c r="M365" s="1">
        <v>45670</v>
      </c>
    </row>
    <row r="366" spans="12:13" x14ac:dyDescent="0.35">
      <c r="L366" s="1">
        <v>46011</v>
      </c>
      <c r="M366" s="1">
        <v>45669</v>
      </c>
    </row>
    <row r="367" spans="12:13" x14ac:dyDescent="0.35">
      <c r="L367" s="1">
        <v>46012</v>
      </c>
      <c r="M367" s="1">
        <v>45668</v>
      </c>
    </row>
    <row r="368" spans="12:13" x14ac:dyDescent="0.35">
      <c r="L368" s="1">
        <v>46013</v>
      </c>
      <c r="M368" s="1">
        <v>45667</v>
      </c>
    </row>
    <row r="369" spans="12:13" x14ac:dyDescent="0.35">
      <c r="L369" s="1">
        <v>46014</v>
      </c>
      <c r="M369" s="1">
        <v>45666</v>
      </c>
    </row>
    <row r="370" spans="12:13" x14ac:dyDescent="0.35">
      <c r="L370" s="1">
        <v>46015</v>
      </c>
      <c r="M370" s="1">
        <v>45665</v>
      </c>
    </row>
    <row r="371" spans="12:13" x14ac:dyDescent="0.35">
      <c r="L371" s="1">
        <v>46016</v>
      </c>
      <c r="M371" s="1">
        <v>45664</v>
      </c>
    </row>
    <row r="372" spans="12:13" x14ac:dyDescent="0.35">
      <c r="L372" s="1">
        <v>46017</v>
      </c>
      <c r="M372" s="1">
        <v>45663</v>
      </c>
    </row>
    <row r="373" spans="12:13" x14ac:dyDescent="0.35">
      <c r="L373" s="1">
        <v>46018</v>
      </c>
      <c r="M373" s="1">
        <v>45662</v>
      </c>
    </row>
    <row r="374" spans="12:13" x14ac:dyDescent="0.35">
      <c r="L374" s="1">
        <v>46019</v>
      </c>
      <c r="M374" s="1">
        <v>45661</v>
      </c>
    </row>
    <row r="375" spans="12:13" x14ac:dyDescent="0.35">
      <c r="L375" s="1">
        <v>46020</v>
      </c>
      <c r="M375" s="1">
        <v>45660</v>
      </c>
    </row>
    <row r="376" spans="12:13" x14ac:dyDescent="0.35">
      <c r="L376" s="1">
        <v>46021</v>
      </c>
      <c r="M376" s="1">
        <v>45659</v>
      </c>
    </row>
    <row r="377" spans="12:13" x14ac:dyDescent="0.35">
      <c r="L377" s="1">
        <v>46022</v>
      </c>
      <c r="M377" s="1">
        <v>45658</v>
      </c>
    </row>
  </sheetData>
  <mergeCells count="2">
    <mergeCell ref="E7:N8"/>
    <mergeCell ref="C3:P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B2CE-B507-4B8D-BE8B-1E3F082E0B41}">
  <dimension ref="C4:R51"/>
  <sheetViews>
    <sheetView tabSelected="1" topLeftCell="F38" zoomScale="123" zoomScaleNormal="25" workbookViewId="0">
      <selection activeCell="J49" sqref="J49"/>
    </sheetView>
  </sheetViews>
  <sheetFormatPr defaultRowHeight="14.5" x14ac:dyDescent="0.35"/>
  <cols>
    <col min="3" max="3" width="18.81640625" customWidth="1"/>
    <col min="4" max="4" width="24.1796875" customWidth="1"/>
    <col min="5" max="5" width="15.90625" customWidth="1"/>
    <col min="6" max="6" width="18.453125" customWidth="1"/>
    <col min="7" max="7" width="17.90625" customWidth="1"/>
    <col min="8" max="8" width="23.453125" customWidth="1"/>
    <col min="9" max="9" width="18.1796875" customWidth="1"/>
    <col min="10" max="10" width="42.7265625" customWidth="1"/>
    <col min="11" max="11" width="15.26953125" customWidth="1"/>
    <col min="12" max="12" width="17.81640625" customWidth="1"/>
    <col min="14" max="14" width="18" customWidth="1"/>
    <col min="15" max="15" width="19.453125" customWidth="1"/>
  </cols>
  <sheetData>
    <row r="4" spans="3:16" x14ac:dyDescent="0.35">
      <c r="C4" s="19" t="s">
        <v>42</v>
      </c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3:16" x14ac:dyDescent="0.35"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7" spans="3:16" x14ac:dyDescent="0.35">
      <c r="C7" s="20" t="s">
        <v>43</v>
      </c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3:16" x14ac:dyDescent="0.35"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3:16" x14ac:dyDescent="0.35"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1" spans="3:16" x14ac:dyDescent="0.35">
      <c r="C11" t="s">
        <v>44</v>
      </c>
      <c r="D11" t="s">
        <v>45</v>
      </c>
      <c r="E11" t="s">
        <v>169</v>
      </c>
      <c r="F11" t="s">
        <v>163</v>
      </c>
      <c r="G11" t="s">
        <v>174</v>
      </c>
      <c r="H11" s="3" t="s">
        <v>175</v>
      </c>
      <c r="I11" t="s">
        <v>176</v>
      </c>
      <c r="J11" s="3" t="s">
        <v>179</v>
      </c>
      <c r="K11" s="14"/>
      <c r="M11">
        <v>3</v>
      </c>
      <c r="N11" t="s">
        <v>46</v>
      </c>
      <c r="O11" t="s">
        <v>47</v>
      </c>
      <c r="P11" t="s">
        <v>48</v>
      </c>
    </row>
    <row r="12" spans="3:16" ht="14" customHeight="1" x14ac:dyDescent="0.35">
      <c r="D12" s="11"/>
      <c r="E12" t="s">
        <v>170</v>
      </c>
      <c r="F12" t="s">
        <v>163</v>
      </c>
      <c r="G12" t="s">
        <v>177</v>
      </c>
      <c r="H12" t="s">
        <v>167</v>
      </c>
      <c r="I12" t="s">
        <v>168</v>
      </c>
      <c r="J12" s="3" t="s">
        <v>178</v>
      </c>
      <c r="M12">
        <v>3</v>
      </c>
      <c r="N12" t="s">
        <v>50</v>
      </c>
      <c r="O12" t="s">
        <v>51</v>
      </c>
      <c r="P12" t="s">
        <v>52</v>
      </c>
    </row>
    <row r="13" spans="3:16" x14ac:dyDescent="0.35">
      <c r="E13" t="s">
        <v>171</v>
      </c>
      <c r="F13" t="s">
        <v>164</v>
      </c>
      <c r="G13">
        <v>123</v>
      </c>
      <c r="H13" s="1">
        <v>38718</v>
      </c>
      <c r="I13" s="14">
        <v>46155</v>
      </c>
      <c r="M13">
        <v>3</v>
      </c>
      <c r="N13" t="s">
        <v>54</v>
      </c>
      <c r="O13" t="s">
        <v>55</v>
      </c>
      <c r="P13" t="s">
        <v>56</v>
      </c>
    </row>
    <row r="14" spans="3:16" x14ac:dyDescent="0.35">
      <c r="E14" t="s">
        <v>172</v>
      </c>
      <c r="F14" t="s">
        <v>164</v>
      </c>
      <c r="G14">
        <v>0.1</v>
      </c>
      <c r="I14" s="14">
        <v>46155</v>
      </c>
    </row>
    <row r="15" spans="3:16" x14ac:dyDescent="0.35">
      <c r="E15" t="s">
        <v>165</v>
      </c>
      <c r="F15" t="s">
        <v>173</v>
      </c>
      <c r="G15" s="3" t="s">
        <v>180</v>
      </c>
      <c r="H15" s="1">
        <v>42005</v>
      </c>
      <c r="I15" s="14">
        <v>46155</v>
      </c>
      <c r="M15">
        <v>3</v>
      </c>
      <c r="N15" t="s">
        <v>58</v>
      </c>
      <c r="O15" t="s">
        <v>59</v>
      </c>
      <c r="P15" t="s">
        <v>60</v>
      </c>
    </row>
    <row r="16" spans="3:16" x14ac:dyDescent="0.35">
      <c r="E16" t="s">
        <v>166</v>
      </c>
      <c r="F16" t="s">
        <v>173</v>
      </c>
      <c r="G16" s="15">
        <v>0.46875</v>
      </c>
      <c r="H16" s="16" t="s">
        <v>181</v>
      </c>
      <c r="I16" s="14">
        <v>46155</v>
      </c>
      <c r="M16">
        <v>3</v>
      </c>
      <c r="N16" t="s">
        <v>61</v>
      </c>
      <c r="O16" t="s">
        <v>62</v>
      </c>
      <c r="P16" t="s">
        <v>63</v>
      </c>
    </row>
    <row r="17" spans="3:18" x14ac:dyDescent="0.35">
      <c r="M17">
        <v>4</v>
      </c>
      <c r="N17" t="s">
        <v>64</v>
      </c>
      <c r="O17" t="s">
        <v>64</v>
      </c>
      <c r="P17" t="s">
        <v>65</v>
      </c>
      <c r="Q17" t="s">
        <v>66</v>
      </c>
    </row>
    <row r="18" spans="3:18" x14ac:dyDescent="0.35">
      <c r="C18" s="12" t="s">
        <v>67</v>
      </c>
      <c r="D18" s="12" t="s">
        <v>68</v>
      </c>
      <c r="E18" s="12" t="s">
        <v>69</v>
      </c>
      <c r="F18" s="12" t="s">
        <v>70</v>
      </c>
      <c r="G18" s="12" t="s">
        <v>71</v>
      </c>
      <c r="H18" s="12" t="s">
        <v>72</v>
      </c>
      <c r="I18" s="12" t="s">
        <v>73</v>
      </c>
      <c r="J18" s="12" t="s">
        <v>74</v>
      </c>
      <c r="M18">
        <v>3</v>
      </c>
      <c r="N18" t="s">
        <v>75</v>
      </c>
      <c r="O18" t="s">
        <v>76</v>
      </c>
      <c r="P18" t="s">
        <v>77</v>
      </c>
    </row>
    <row r="19" spans="3:18" x14ac:dyDescent="0.35">
      <c r="C19" t="s">
        <v>78</v>
      </c>
      <c r="D19" t="s">
        <v>79</v>
      </c>
      <c r="E19" t="s">
        <v>80</v>
      </c>
      <c r="F19" s="1">
        <v>44573</v>
      </c>
      <c r="G19">
        <v>55000</v>
      </c>
      <c r="H19">
        <v>5000</v>
      </c>
      <c r="I19">
        <v>9876543210</v>
      </c>
      <c r="J19" t="s">
        <v>81</v>
      </c>
      <c r="K19" t="s">
        <v>162</v>
      </c>
      <c r="M19">
        <v>3</v>
      </c>
      <c r="N19" t="s">
        <v>82</v>
      </c>
      <c r="O19" t="s">
        <v>83</v>
      </c>
      <c r="P19" t="s">
        <v>84</v>
      </c>
    </row>
    <row r="20" spans="3:18" x14ac:dyDescent="0.35">
      <c r="C20" t="s">
        <v>85</v>
      </c>
      <c r="D20" t="s">
        <v>86</v>
      </c>
      <c r="E20" t="s">
        <v>87</v>
      </c>
      <c r="F20" s="1">
        <v>44280</v>
      </c>
      <c r="G20">
        <v>62000</v>
      </c>
      <c r="H20">
        <v>6000</v>
      </c>
      <c r="I20">
        <v>9123456780</v>
      </c>
      <c r="J20" t="s">
        <v>88</v>
      </c>
      <c r="K20" t="s">
        <v>162</v>
      </c>
      <c r="M20">
        <v>4</v>
      </c>
      <c r="N20" t="s">
        <v>89</v>
      </c>
      <c r="O20" t="s">
        <v>90</v>
      </c>
      <c r="P20" t="s">
        <v>91</v>
      </c>
      <c r="Q20" t="s">
        <v>92</v>
      </c>
    </row>
    <row r="21" spans="3:18" x14ac:dyDescent="0.35">
      <c r="C21" t="s">
        <v>93</v>
      </c>
      <c r="D21" t="s">
        <v>94</v>
      </c>
      <c r="E21" t="s">
        <v>95</v>
      </c>
      <c r="F21" s="1">
        <v>44022</v>
      </c>
      <c r="G21">
        <v>72000</v>
      </c>
      <c r="H21">
        <v>7000</v>
      </c>
      <c r="I21">
        <v>9988776655</v>
      </c>
      <c r="J21" t="s">
        <v>96</v>
      </c>
      <c r="K21" t="s">
        <v>162</v>
      </c>
      <c r="M21">
        <v>2</v>
      </c>
      <c r="N21" t="s">
        <v>97</v>
      </c>
      <c r="O21" t="s">
        <v>98</v>
      </c>
    </row>
    <row r="22" spans="3:18" x14ac:dyDescent="0.35">
      <c r="C22" t="s">
        <v>99</v>
      </c>
      <c r="D22" t="s">
        <v>100</v>
      </c>
      <c r="E22" t="s">
        <v>101</v>
      </c>
      <c r="F22" s="1">
        <v>45248</v>
      </c>
      <c r="G22">
        <v>48000</v>
      </c>
      <c r="H22">
        <v>4000</v>
      </c>
      <c r="I22">
        <v>9012345678</v>
      </c>
      <c r="J22" t="s">
        <v>102</v>
      </c>
      <c r="K22" t="s">
        <v>162</v>
      </c>
    </row>
    <row r="23" spans="3:18" x14ac:dyDescent="0.35">
      <c r="C23" t="s">
        <v>103</v>
      </c>
      <c r="D23" t="s">
        <v>104</v>
      </c>
      <c r="E23" t="s">
        <v>80</v>
      </c>
      <c r="F23" s="1">
        <v>43621</v>
      </c>
      <c r="G23">
        <v>81000</v>
      </c>
      <c r="H23">
        <v>9000</v>
      </c>
      <c r="I23">
        <v>8899776655</v>
      </c>
      <c r="J23" t="s">
        <v>105</v>
      </c>
      <c r="K23" t="s">
        <v>162</v>
      </c>
    </row>
    <row r="24" spans="3:18" x14ac:dyDescent="0.35">
      <c r="C24" t="s">
        <v>106</v>
      </c>
      <c r="D24" t="s">
        <v>107</v>
      </c>
      <c r="E24" t="s">
        <v>95</v>
      </c>
      <c r="F24" s="1">
        <v>44795</v>
      </c>
      <c r="G24">
        <v>67000</v>
      </c>
      <c r="H24">
        <v>6500</v>
      </c>
      <c r="I24">
        <v>7766554433</v>
      </c>
      <c r="J24" t="s">
        <v>108</v>
      </c>
      <c r="K24" t="s">
        <v>162</v>
      </c>
    </row>
    <row r="25" spans="3:18" x14ac:dyDescent="0.35">
      <c r="C25" t="s">
        <v>109</v>
      </c>
      <c r="D25" t="s">
        <v>110</v>
      </c>
      <c r="E25" t="s">
        <v>87</v>
      </c>
      <c r="F25" s="1">
        <v>43875</v>
      </c>
      <c r="G25">
        <v>53000</v>
      </c>
      <c r="H25">
        <v>5000</v>
      </c>
      <c r="I25">
        <v>9988123456</v>
      </c>
      <c r="J25" t="s">
        <v>111</v>
      </c>
      <c r="K25" t="s">
        <v>162</v>
      </c>
      <c r="N25" t="s">
        <v>79</v>
      </c>
      <c r="O25" t="s">
        <v>79</v>
      </c>
      <c r="P25" t="s">
        <v>46</v>
      </c>
      <c r="Q25" t="s">
        <v>47</v>
      </c>
      <c r="R25" t="s">
        <v>48</v>
      </c>
    </row>
    <row r="26" spans="3:18" x14ac:dyDescent="0.35">
      <c r="C26" t="s">
        <v>112</v>
      </c>
      <c r="D26" t="s">
        <v>113</v>
      </c>
      <c r="E26" t="s">
        <v>101</v>
      </c>
      <c r="F26" s="1">
        <v>44469</v>
      </c>
      <c r="G26">
        <v>59000</v>
      </c>
      <c r="H26">
        <v>5500</v>
      </c>
      <c r="I26">
        <v>8877665544</v>
      </c>
      <c r="J26" t="s">
        <v>114</v>
      </c>
      <c r="K26" t="s">
        <v>162</v>
      </c>
      <c r="N26" t="s">
        <v>86</v>
      </c>
      <c r="O26" t="s">
        <v>86</v>
      </c>
      <c r="P26" t="s">
        <v>50</v>
      </c>
      <c r="Q26" t="s">
        <v>51</v>
      </c>
      <c r="R26" t="s">
        <v>52</v>
      </c>
    </row>
    <row r="27" spans="3:18" x14ac:dyDescent="0.35">
      <c r="C27" t="s">
        <v>115</v>
      </c>
      <c r="D27" t="s">
        <v>116</v>
      </c>
      <c r="E27" t="s">
        <v>80</v>
      </c>
      <c r="F27" s="1">
        <v>43445</v>
      </c>
      <c r="G27">
        <v>92000</v>
      </c>
      <c r="H27">
        <v>10000</v>
      </c>
      <c r="I27">
        <v>9090909090</v>
      </c>
      <c r="J27" t="s">
        <v>117</v>
      </c>
      <c r="K27" t="s">
        <v>162</v>
      </c>
      <c r="N27" t="s">
        <v>94</v>
      </c>
      <c r="O27" t="s">
        <v>94</v>
      </c>
      <c r="P27" t="s">
        <v>54</v>
      </c>
      <c r="Q27" t="s">
        <v>55</v>
      </c>
      <c r="R27" t="s">
        <v>56</v>
      </c>
    </row>
    <row r="28" spans="3:18" x14ac:dyDescent="0.35">
      <c r="C28" t="s">
        <v>118</v>
      </c>
      <c r="D28" t="s">
        <v>119</v>
      </c>
      <c r="E28" t="s">
        <v>95</v>
      </c>
      <c r="F28" s="1">
        <v>45292</v>
      </c>
      <c r="G28">
        <v>45000</v>
      </c>
      <c r="H28">
        <v>3000</v>
      </c>
      <c r="I28">
        <v>8080808080</v>
      </c>
      <c r="J28" t="s">
        <v>120</v>
      </c>
      <c r="K28" t="s">
        <v>162</v>
      </c>
      <c r="N28" t="s">
        <v>100</v>
      </c>
      <c r="O28" t="s">
        <v>100</v>
      </c>
      <c r="P28" t="s">
        <v>58</v>
      </c>
      <c r="Q28" t="s">
        <v>59</v>
      </c>
      <c r="R28" t="s">
        <v>60</v>
      </c>
    </row>
    <row r="29" spans="3:18" x14ac:dyDescent="0.35">
      <c r="N29" t="s">
        <v>104</v>
      </c>
      <c r="O29" t="s">
        <v>104</v>
      </c>
      <c r="P29" t="s">
        <v>61</v>
      </c>
      <c r="Q29" t="s">
        <v>62</v>
      </c>
      <c r="R29" t="s">
        <v>63</v>
      </c>
    </row>
    <row r="30" spans="3:18" x14ac:dyDescent="0.35">
      <c r="N30" t="s">
        <v>107</v>
      </c>
      <c r="O30" t="s">
        <v>107</v>
      </c>
      <c r="P30" t="s">
        <v>64</v>
      </c>
      <c r="Q30" t="s">
        <v>65</v>
      </c>
      <c r="R30" t="s">
        <v>66</v>
      </c>
    </row>
    <row r="31" spans="3:18" x14ac:dyDescent="0.35">
      <c r="C31" t="s">
        <v>67</v>
      </c>
      <c r="D31" s="13" t="s">
        <v>160</v>
      </c>
      <c r="G31" t="s">
        <v>74</v>
      </c>
      <c r="I31" t="s">
        <v>74</v>
      </c>
      <c r="K31" t="s">
        <v>121</v>
      </c>
      <c r="L31" t="s">
        <v>122</v>
      </c>
      <c r="N31" t="s">
        <v>110</v>
      </c>
      <c r="O31" t="s">
        <v>110</v>
      </c>
      <c r="P31" t="s">
        <v>75</v>
      </c>
      <c r="Q31" t="s">
        <v>76</v>
      </c>
      <c r="R31" t="s">
        <v>77</v>
      </c>
    </row>
    <row r="32" spans="3:18" x14ac:dyDescent="0.35">
      <c r="C32" t="s">
        <v>78</v>
      </c>
      <c r="D32" t="s">
        <v>78</v>
      </c>
      <c r="G32" t="s">
        <v>81</v>
      </c>
      <c r="H32" t="s">
        <v>49</v>
      </c>
      <c r="I32" t="s">
        <v>151</v>
      </c>
      <c r="J32" t="s">
        <v>123</v>
      </c>
      <c r="K32" s="22" t="s">
        <v>160</v>
      </c>
      <c r="L32" s="22"/>
      <c r="N32" t="s">
        <v>113</v>
      </c>
      <c r="O32" t="s">
        <v>113</v>
      </c>
      <c r="P32" t="s">
        <v>82</v>
      </c>
      <c r="Q32" t="s">
        <v>83</v>
      </c>
      <c r="R32" t="s">
        <v>84</v>
      </c>
    </row>
    <row r="33" spans="3:18" x14ac:dyDescent="0.35">
      <c r="C33" t="s">
        <v>85</v>
      </c>
      <c r="D33" t="s">
        <v>85</v>
      </c>
      <c r="G33" t="s">
        <v>88</v>
      </c>
      <c r="H33" t="s">
        <v>53</v>
      </c>
      <c r="I33" t="s">
        <v>124</v>
      </c>
      <c r="J33" t="s">
        <v>125</v>
      </c>
      <c r="K33">
        <v>9876543210</v>
      </c>
      <c r="L33" t="s">
        <v>126</v>
      </c>
      <c r="N33" t="s">
        <v>116</v>
      </c>
      <c r="O33" t="s">
        <v>116</v>
      </c>
      <c r="P33" t="s">
        <v>89</v>
      </c>
      <c r="Q33" t="s">
        <v>91</v>
      </c>
      <c r="R33" t="s">
        <v>92</v>
      </c>
    </row>
    <row r="34" spans="3:18" x14ac:dyDescent="0.35">
      <c r="C34" t="s">
        <v>93</v>
      </c>
      <c r="D34" t="s">
        <v>93</v>
      </c>
      <c r="G34" t="s">
        <v>96</v>
      </c>
      <c r="H34" t="s">
        <v>57</v>
      </c>
      <c r="I34" t="s">
        <v>127</v>
      </c>
      <c r="J34" t="s">
        <v>128</v>
      </c>
      <c r="K34">
        <v>9123456780</v>
      </c>
      <c r="L34" t="s">
        <v>129</v>
      </c>
      <c r="N34" t="s">
        <v>119</v>
      </c>
      <c r="O34" t="s">
        <v>119</v>
      </c>
      <c r="P34" t="s">
        <v>97</v>
      </c>
      <c r="Q34" t="s">
        <v>97</v>
      </c>
      <c r="R34" t="s">
        <v>98</v>
      </c>
    </row>
    <row r="35" spans="3:18" x14ac:dyDescent="0.35">
      <c r="C35" t="s">
        <v>99</v>
      </c>
      <c r="D35" t="s">
        <v>99</v>
      </c>
      <c r="G35" t="s">
        <v>102</v>
      </c>
      <c r="H35" t="s">
        <v>49</v>
      </c>
      <c r="I35" t="s">
        <v>130</v>
      </c>
      <c r="J35" t="s">
        <v>131</v>
      </c>
      <c r="K35">
        <v>9988776655</v>
      </c>
      <c r="L35" t="s">
        <v>132</v>
      </c>
    </row>
    <row r="36" spans="3:18" x14ac:dyDescent="0.35">
      <c r="C36" t="s">
        <v>103</v>
      </c>
      <c r="D36" t="s">
        <v>103</v>
      </c>
      <c r="G36" t="s">
        <v>105</v>
      </c>
      <c r="H36" t="s">
        <v>53</v>
      </c>
      <c r="I36" t="s">
        <v>133</v>
      </c>
      <c r="J36" t="s">
        <v>134</v>
      </c>
      <c r="K36">
        <v>9012345678</v>
      </c>
      <c r="L36" t="s">
        <v>135</v>
      </c>
      <c r="N36" t="s">
        <v>161</v>
      </c>
    </row>
    <row r="37" spans="3:18" x14ac:dyDescent="0.35">
      <c r="C37" t="s">
        <v>106</v>
      </c>
      <c r="D37" t="s">
        <v>106</v>
      </c>
      <c r="G37" t="s">
        <v>108</v>
      </c>
      <c r="H37" t="s">
        <v>57</v>
      </c>
      <c r="I37" t="s">
        <v>136</v>
      </c>
      <c r="J37" t="s">
        <v>137</v>
      </c>
      <c r="K37">
        <v>8899776655</v>
      </c>
      <c r="L37" t="s">
        <v>138</v>
      </c>
      <c r="N37" t="s">
        <v>161</v>
      </c>
    </row>
    <row r="38" spans="3:18" x14ac:dyDescent="0.35">
      <c r="C38" t="s">
        <v>109</v>
      </c>
      <c r="D38" t="s">
        <v>109</v>
      </c>
      <c r="G38" t="s">
        <v>111</v>
      </c>
      <c r="H38" t="s">
        <v>49</v>
      </c>
      <c r="I38" t="s">
        <v>139</v>
      </c>
      <c r="J38" t="s">
        <v>140</v>
      </c>
      <c r="K38">
        <v>7766554433</v>
      </c>
      <c r="L38" t="s">
        <v>141</v>
      </c>
    </row>
    <row r="39" spans="3:18" x14ac:dyDescent="0.35">
      <c r="C39" t="s">
        <v>112</v>
      </c>
      <c r="D39" t="s">
        <v>112</v>
      </c>
      <c r="G39" t="s">
        <v>114</v>
      </c>
      <c r="H39" t="s">
        <v>53</v>
      </c>
      <c r="I39" t="s">
        <v>142</v>
      </c>
      <c r="J39" t="s">
        <v>143</v>
      </c>
      <c r="K39">
        <v>9988123456</v>
      </c>
      <c r="L39" t="s">
        <v>144</v>
      </c>
    </row>
    <row r="40" spans="3:18" x14ac:dyDescent="0.35">
      <c r="C40" t="s">
        <v>115</v>
      </c>
      <c r="D40" t="s">
        <v>115</v>
      </c>
      <c r="G40" t="s">
        <v>117</v>
      </c>
      <c r="H40" t="s">
        <v>57</v>
      </c>
      <c r="I40" t="s">
        <v>145</v>
      </c>
      <c r="J40" t="s">
        <v>146</v>
      </c>
      <c r="K40">
        <v>8877665544</v>
      </c>
      <c r="L40" t="s">
        <v>147</v>
      </c>
    </row>
    <row r="41" spans="3:18" x14ac:dyDescent="0.35">
      <c r="C41" t="s">
        <v>118</v>
      </c>
      <c r="D41" t="s">
        <v>118</v>
      </c>
      <c r="G41" t="s">
        <v>120</v>
      </c>
      <c r="H41" t="s">
        <v>49</v>
      </c>
      <c r="I41" t="s">
        <v>148</v>
      </c>
      <c r="J41" t="s">
        <v>149</v>
      </c>
      <c r="K41">
        <v>9090909090</v>
      </c>
      <c r="L41" t="s">
        <v>150</v>
      </c>
    </row>
    <row r="42" spans="3:18" x14ac:dyDescent="0.35">
      <c r="K42">
        <v>8080808080</v>
      </c>
      <c r="L42" t="s">
        <v>152</v>
      </c>
    </row>
    <row r="43" spans="3:18" x14ac:dyDescent="0.35">
      <c r="D43" s="22" t="s">
        <v>160</v>
      </c>
      <c r="E43" s="22"/>
      <c r="F43" s="22"/>
    </row>
    <row r="44" spans="3:18" x14ac:dyDescent="0.35">
      <c r="C44" t="s">
        <v>68</v>
      </c>
      <c r="D44" t="s">
        <v>157</v>
      </c>
      <c r="E44" t="s">
        <v>158</v>
      </c>
      <c r="F44" t="s">
        <v>159</v>
      </c>
    </row>
    <row r="45" spans="3:18" x14ac:dyDescent="0.35">
      <c r="C45" t="s">
        <v>79</v>
      </c>
      <c r="D45" t="s">
        <v>46</v>
      </c>
      <c r="E45" t="s">
        <v>153</v>
      </c>
      <c r="F45" t="s">
        <v>48</v>
      </c>
    </row>
    <row r="46" spans="3:18" x14ac:dyDescent="0.35">
      <c r="C46" t="s">
        <v>86</v>
      </c>
      <c r="D46" t="s">
        <v>50</v>
      </c>
      <c r="E46" t="s">
        <v>154</v>
      </c>
      <c r="F46" t="s">
        <v>52</v>
      </c>
      <c r="I46" t="s">
        <v>185</v>
      </c>
      <c r="J46" t="s">
        <v>186</v>
      </c>
    </row>
    <row r="47" spans="3:18" x14ac:dyDescent="0.35">
      <c r="C47" t="s">
        <v>94</v>
      </c>
      <c r="D47" t="s">
        <v>54</v>
      </c>
      <c r="E47" t="s">
        <v>155</v>
      </c>
      <c r="F47" t="s">
        <v>56</v>
      </c>
    </row>
    <row r="48" spans="3:18" ht="21" x14ac:dyDescent="0.5">
      <c r="C48" t="s">
        <v>100</v>
      </c>
      <c r="D48" t="s">
        <v>58</v>
      </c>
      <c r="E48" t="s">
        <v>156</v>
      </c>
      <c r="F48" t="s">
        <v>60</v>
      </c>
      <c r="J48" s="18"/>
    </row>
    <row r="51" spans="9:9" ht="21" x14ac:dyDescent="0.5">
      <c r="I51" s="18" t="s">
        <v>184</v>
      </c>
    </row>
  </sheetData>
  <mergeCells count="4">
    <mergeCell ref="C4:M5"/>
    <mergeCell ref="C7:M9"/>
    <mergeCell ref="D43:F43"/>
    <mergeCell ref="K32:L32"/>
  </mergeCells>
  <phoneticPr fontId="1" type="noConversion"/>
  <pageMargins left="0.7" right="0.7" top="0.75" bottom="0.75" header="0.3" footer="0.3"/>
  <ignoredErrors>
    <ignoredError sqref="J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AC29-B68D-4887-A347-65568CCEFF09}">
  <dimension ref="B2:L16"/>
  <sheetViews>
    <sheetView zoomScale="105" workbookViewId="0">
      <selection activeCell="F16" sqref="F16"/>
    </sheetView>
  </sheetViews>
  <sheetFormatPr defaultRowHeight="14.5" x14ac:dyDescent="0.35"/>
  <cols>
    <col min="4" max="4" width="10.36328125" customWidth="1"/>
    <col min="5" max="5" width="14.81640625" customWidth="1"/>
    <col min="6" max="6" width="15.54296875" customWidth="1"/>
    <col min="7" max="7" width="10.90625" customWidth="1"/>
    <col min="8" max="8" width="18.26953125" bestFit="1" customWidth="1"/>
    <col min="9" max="9" width="12.1796875" customWidth="1"/>
  </cols>
  <sheetData>
    <row r="2" spans="2:12" x14ac:dyDescent="0.35">
      <c r="B2" s="27" t="s">
        <v>36</v>
      </c>
      <c r="C2" s="27"/>
      <c r="D2" s="27"/>
      <c r="E2" s="27"/>
      <c r="F2" s="27"/>
      <c r="G2" s="27"/>
    </row>
    <row r="3" spans="2:12" x14ac:dyDescent="0.35">
      <c r="B3" t="s">
        <v>17</v>
      </c>
      <c r="C3" t="s">
        <v>16</v>
      </c>
      <c r="D3" t="s">
        <v>18</v>
      </c>
      <c r="E3" t="s">
        <v>19</v>
      </c>
      <c r="F3" t="s">
        <v>20</v>
      </c>
      <c r="G3" t="s">
        <v>21</v>
      </c>
      <c r="I3" t="s">
        <v>26</v>
      </c>
      <c r="J3" t="s">
        <v>27</v>
      </c>
    </row>
    <row r="4" spans="2:12" x14ac:dyDescent="0.35">
      <c r="B4">
        <v>20</v>
      </c>
      <c r="C4">
        <v>10</v>
      </c>
      <c r="D4">
        <f>B4+C4</f>
        <v>30</v>
      </c>
      <c r="E4">
        <f>B4-C4</f>
        <v>10</v>
      </c>
      <c r="F4">
        <f>B4*C4</f>
        <v>200</v>
      </c>
      <c r="G4">
        <f>B4/C4</f>
        <v>2</v>
      </c>
      <c r="I4" t="s">
        <v>28</v>
      </c>
      <c r="J4">
        <v>60</v>
      </c>
    </row>
    <row r="5" spans="2:12" x14ac:dyDescent="0.35">
      <c r="B5">
        <v>80</v>
      </c>
      <c r="C5">
        <v>40</v>
      </c>
      <c r="D5">
        <f>B5+C5</f>
        <v>120</v>
      </c>
      <c r="E5">
        <f t="shared" ref="E5:E8" si="0">B5-C5</f>
        <v>40</v>
      </c>
      <c r="F5">
        <f t="shared" ref="F5:F8" si="1">B5*C5</f>
        <v>3200</v>
      </c>
      <c r="G5">
        <f t="shared" ref="G5:G8" si="2">B5/C5</f>
        <v>2</v>
      </c>
      <c r="I5" t="s">
        <v>29</v>
      </c>
      <c r="J5">
        <v>30</v>
      </c>
    </row>
    <row r="6" spans="2:12" x14ac:dyDescent="0.35">
      <c r="B6">
        <v>40</v>
      </c>
      <c r="C6">
        <v>20</v>
      </c>
      <c r="D6">
        <f t="shared" ref="D6:D8" si="3">B6+C6</f>
        <v>60</v>
      </c>
      <c r="E6">
        <f t="shared" si="0"/>
        <v>20</v>
      </c>
      <c r="F6">
        <f t="shared" si="1"/>
        <v>800</v>
      </c>
      <c r="G6">
        <f t="shared" si="2"/>
        <v>2</v>
      </c>
    </row>
    <row r="7" spans="2:12" x14ac:dyDescent="0.35">
      <c r="B7">
        <v>60</v>
      </c>
      <c r="C7">
        <v>20</v>
      </c>
      <c r="D7">
        <f t="shared" si="3"/>
        <v>80</v>
      </c>
      <c r="E7">
        <f t="shared" si="0"/>
        <v>40</v>
      </c>
      <c r="F7">
        <f t="shared" si="1"/>
        <v>1200</v>
      </c>
      <c r="G7">
        <f t="shared" si="2"/>
        <v>3</v>
      </c>
      <c r="I7" t="s">
        <v>30</v>
      </c>
      <c r="J7" t="s">
        <v>31</v>
      </c>
      <c r="K7" t="s">
        <v>32</v>
      </c>
      <c r="L7" t="s">
        <v>21</v>
      </c>
    </row>
    <row r="8" spans="2:12" x14ac:dyDescent="0.35">
      <c r="B8">
        <v>50</v>
      </c>
      <c r="C8">
        <v>25</v>
      </c>
      <c r="D8">
        <f t="shared" si="3"/>
        <v>75</v>
      </c>
      <c r="E8">
        <f t="shared" si="0"/>
        <v>25</v>
      </c>
      <c r="F8">
        <f t="shared" si="1"/>
        <v>1250</v>
      </c>
      <c r="G8">
        <f t="shared" si="2"/>
        <v>2</v>
      </c>
      <c r="I8">
        <f>J4+J5</f>
        <v>90</v>
      </c>
      <c r="J8">
        <f>J4-J5</f>
        <v>30</v>
      </c>
      <c r="K8">
        <f>J4*J5</f>
        <v>1800</v>
      </c>
      <c r="L8">
        <f>J4/J5</f>
        <v>2</v>
      </c>
    </row>
    <row r="9" spans="2:12" x14ac:dyDescent="0.35">
      <c r="D9" s="25" t="s">
        <v>22</v>
      </c>
      <c r="E9" s="25"/>
      <c r="F9" s="25"/>
      <c r="G9" s="25"/>
      <c r="H9" t="s">
        <v>24</v>
      </c>
    </row>
    <row r="10" spans="2:12" x14ac:dyDescent="0.35">
      <c r="D10" t="str">
        <f ca="1">_xlfn.FORMULATEXT(D4)</f>
        <v>=B4+C4</v>
      </c>
      <c r="E10" t="str">
        <f t="shared" ref="E10:G10" ca="1" si="4">_xlfn.FORMULATEXT(E4)</f>
        <v>=B4-C4</v>
      </c>
      <c r="F10" t="str">
        <f t="shared" ca="1" si="4"/>
        <v>=B4*C4</v>
      </c>
      <c r="G10" t="str">
        <f t="shared" ca="1" si="4"/>
        <v>=B4/C4</v>
      </c>
    </row>
    <row r="11" spans="2:12" x14ac:dyDescent="0.35">
      <c r="B11">
        <v>60</v>
      </c>
      <c r="C11">
        <v>30</v>
      </c>
      <c r="D11">
        <f>B11+C11</f>
        <v>90</v>
      </c>
      <c r="E11">
        <f>B11-C11</f>
        <v>30</v>
      </c>
      <c r="F11">
        <f>B11*C11</f>
        <v>1800</v>
      </c>
      <c r="G11">
        <f>B11/C11</f>
        <v>2</v>
      </c>
    </row>
    <row r="12" spans="2:12" x14ac:dyDescent="0.35">
      <c r="D12" s="26" t="s">
        <v>23</v>
      </c>
      <c r="E12" s="26"/>
      <c r="F12" s="26"/>
      <c r="G12" s="26"/>
      <c r="H12" t="s">
        <v>25</v>
      </c>
      <c r="I12" cm="1">
        <f t="array" ref="I12:I16">SALES</f>
        <v>20</v>
      </c>
    </row>
    <row r="13" spans="2:12" x14ac:dyDescent="0.35">
      <c r="B13">
        <v>80</v>
      </c>
      <c r="C13">
        <v>40</v>
      </c>
      <c r="D13">
        <f>B13+C13</f>
        <v>120</v>
      </c>
      <c r="E13">
        <f>B13-C13</f>
        <v>40</v>
      </c>
      <c r="F13">
        <f>B13*C13</f>
        <v>3200</v>
      </c>
      <c r="G13">
        <f>B13/C13</f>
        <v>2</v>
      </c>
      <c r="I13">
        <v>80</v>
      </c>
    </row>
    <row r="14" spans="2:12" x14ac:dyDescent="0.35">
      <c r="I14">
        <v>40</v>
      </c>
    </row>
    <row r="15" spans="2:12" x14ac:dyDescent="0.35">
      <c r="I15">
        <v>60</v>
      </c>
    </row>
    <row r="16" spans="2:12" x14ac:dyDescent="0.35">
      <c r="I16">
        <v>50</v>
      </c>
    </row>
  </sheetData>
  <mergeCells count="3">
    <mergeCell ref="D9:G9"/>
    <mergeCell ref="D12:G12"/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8AE2-834E-4BE0-810A-9FC11779C955}">
  <dimension ref="C2:M9"/>
  <sheetViews>
    <sheetView workbookViewId="0">
      <selection activeCell="F6" sqref="F6"/>
    </sheetView>
  </sheetViews>
  <sheetFormatPr defaultRowHeight="14.5" x14ac:dyDescent="0.35"/>
  <sheetData>
    <row r="2" spans="3:13" x14ac:dyDescent="0.35">
      <c r="C2" t="s">
        <v>17</v>
      </c>
      <c r="E2" t="s">
        <v>16</v>
      </c>
      <c r="G2" t="s">
        <v>17</v>
      </c>
      <c r="I2" t="s">
        <v>16</v>
      </c>
      <c r="L2" s="9" t="s">
        <v>17</v>
      </c>
      <c r="M2" s="2" t="s">
        <v>16</v>
      </c>
    </row>
    <row r="3" spans="3:13" x14ac:dyDescent="0.35">
      <c r="C3" s="10" t="s">
        <v>37</v>
      </c>
      <c r="D3" s="3"/>
      <c r="E3" s="10" t="s">
        <v>38</v>
      </c>
      <c r="F3" s="3"/>
      <c r="G3" s="10" t="s">
        <v>41</v>
      </c>
      <c r="H3" s="3"/>
      <c r="I3" s="10" t="s">
        <v>40</v>
      </c>
      <c r="J3" s="3"/>
      <c r="L3" s="28" t="s">
        <v>39</v>
      </c>
      <c r="M3" s="28"/>
    </row>
    <row r="4" spans="3:13" x14ac:dyDescent="0.35">
      <c r="C4" cm="1">
        <f t="array" ref="C4:C8">SALES</f>
        <v>20</v>
      </c>
      <c r="E4" cm="1">
        <f t="array" ref="E4:E8">PROFIT</f>
        <v>10</v>
      </c>
      <c r="G4" t="str" cm="1">
        <f t="array" ref="G4:G9">COLA</f>
        <v>COLA</v>
      </c>
      <c r="I4" cm="1">
        <f t="array" ref="I4:I8">ORDER</f>
        <v>10</v>
      </c>
      <c r="L4" t="str" cm="1">
        <f t="array" ref="L4:M9">TOTAL</f>
        <v>COLA</v>
      </c>
      <c r="M4" t="str">
        <v>COLB</v>
      </c>
    </row>
    <row r="5" spans="3:13" x14ac:dyDescent="0.35">
      <c r="C5">
        <v>80</v>
      </c>
      <c r="E5">
        <v>40</v>
      </c>
      <c r="G5">
        <v>20</v>
      </c>
      <c r="I5">
        <v>40</v>
      </c>
      <c r="L5">
        <v>20</v>
      </c>
      <c r="M5">
        <v>10</v>
      </c>
    </row>
    <row r="6" spans="3:13" x14ac:dyDescent="0.35">
      <c r="C6">
        <v>40</v>
      </c>
      <c r="E6">
        <v>20</v>
      </c>
      <c r="G6">
        <v>80</v>
      </c>
      <c r="I6">
        <v>20</v>
      </c>
      <c r="L6">
        <v>80</v>
      </c>
      <c r="M6">
        <v>40</v>
      </c>
    </row>
    <row r="7" spans="3:13" x14ac:dyDescent="0.35">
      <c r="C7">
        <v>60</v>
      </c>
      <c r="E7">
        <v>20</v>
      </c>
      <c r="G7">
        <v>40</v>
      </c>
      <c r="I7">
        <v>20</v>
      </c>
      <c r="L7">
        <v>40</v>
      </c>
      <c r="M7">
        <v>20</v>
      </c>
    </row>
    <row r="8" spans="3:13" x14ac:dyDescent="0.35">
      <c r="C8">
        <v>50</v>
      </c>
      <c r="E8">
        <v>25</v>
      </c>
      <c r="G8">
        <v>60</v>
      </c>
      <c r="I8">
        <v>25</v>
      </c>
      <c r="L8">
        <v>60</v>
      </c>
      <c r="M8">
        <v>20</v>
      </c>
    </row>
    <row r="9" spans="3:13" x14ac:dyDescent="0.35">
      <c r="G9">
        <v>50</v>
      </c>
      <c r="L9">
        <v>50</v>
      </c>
      <c r="M9">
        <v>25</v>
      </c>
    </row>
  </sheetData>
  <mergeCells count="1"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Fill series</vt:lpstr>
      <vt:lpstr>Flash series</vt:lpstr>
      <vt:lpstr>Arithmetic operation</vt:lpstr>
      <vt:lpstr>A</vt:lpstr>
      <vt:lpstr>COLA</vt:lpstr>
      <vt:lpstr>ORDER</vt:lpstr>
      <vt:lpstr>PROFIT</vt:lpstr>
      <vt:lpstr>SALES</vt:lpstr>
      <vt:lpstr>TOTAK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aparnamittapally6@gmail.com</dc:creator>
  <cp:lastModifiedBy>aparnamittapally6@gmail.com</cp:lastModifiedBy>
  <dcterms:created xsi:type="dcterms:W3CDTF">2026-06-29T13:31:04Z</dcterms:created>
  <dcterms:modified xsi:type="dcterms:W3CDTF">2026-07-07T11:07:46Z</dcterms:modified>
</cp:coreProperties>
</file>