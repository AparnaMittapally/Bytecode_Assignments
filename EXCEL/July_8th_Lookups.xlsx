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20d8914b1e23ee/Desktop/Bytecode/EXCEL/"/>
    </mc:Choice>
  </mc:AlternateContent>
  <xr:revisionPtr revIDLastSave="0" documentId="8_{EEAD10F8-62C0-4073-B46B-4594B19903C1}" xr6:coauthVersionLast="47" xr6:coauthVersionMax="47" xr10:uidLastSave="{00000000-0000-0000-0000-000000000000}"/>
  <bookViews>
    <workbookView xWindow="-110" yWindow="-110" windowWidth="19420" windowHeight="10300" xr2:uid="{28CF5704-E473-4E4B-B6AA-19DC0EE531BD}"/>
  </bookViews>
  <sheets>
    <sheet name="Vlookup" sheetId="1" r:id="rId1"/>
    <sheet name="HLookUP" sheetId="3" r:id="rId2"/>
    <sheet name="Xlookup" sheetId="4" r:id="rId3"/>
    <sheet name="Index_Match" sheetId="2" r:id="rId4"/>
  </sheets>
  <definedNames>
    <definedName name="_xlnm._FilterDatabase" localSheetId="0" hidden="1">Vlookup!$A$3:$R$33</definedName>
    <definedName name="Customer_DATA">Xlookup!$B$4:$E$9</definedName>
    <definedName name="Emp_DATASET">Vlookup!$A$3:$I$3</definedName>
    <definedName name="Employee_Name">Index_Match!$B$3:$J$3</definedName>
    <definedName name="Employee_SALESDATA">Vlookup!$A$3:$I$33</definedName>
    <definedName name="HLOOKUP">HLookUP!$C$3:$K$11</definedName>
    <definedName name="HLOOKUP2">HLookUP!$C$3:$C$11</definedName>
    <definedName name="ID">Index_Match!$D$3:$D$33</definedName>
    <definedName name="INDEXMATCH">Index_Match!$B$3:$J$33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/>
  <c r="O12" i="2"/>
  <c r="P12" i="2"/>
  <c r="Q12" i="2"/>
  <c r="R12" i="2"/>
  <c r="N13" i="2"/>
  <c r="O13" i="2"/>
  <c r="P13" i="2"/>
  <c r="Q13" i="2"/>
  <c r="R13" i="2"/>
  <c r="N14" i="2"/>
  <c r="O14" i="2"/>
  <c r="P14" i="2"/>
  <c r="Q14" i="2"/>
  <c r="R14" i="2"/>
  <c r="N15" i="2"/>
  <c r="O15" i="2"/>
  <c r="P15" i="2"/>
  <c r="Q15" i="2"/>
  <c r="R15" i="2"/>
  <c r="M13" i="2"/>
  <c r="M14" i="2"/>
  <c r="M15" i="2"/>
  <c r="M12" i="2"/>
  <c r="P5" i="2"/>
  <c r="P6" i="2"/>
  <c r="P7" i="2"/>
  <c r="P4" i="2"/>
  <c r="M5" i="2"/>
  <c r="M6" i="2"/>
  <c r="M7" i="2"/>
  <c r="M8" i="2"/>
  <c r="M9" i="2"/>
  <c r="M4" i="2"/>
  <c r="L7" i="1"/>
  <c r="P8" i="1"/>
  <c r="P9" i="1"/>
  <c r="P10" i="1"/>
  <c r="P11" i="1"/>
  <c r="P12" i="1"/>
  <c r="P7" i="1"/>
  <c r="M6" i="4" a="1"/>
  <c r="M6" i="4" s="1"/>
  <c r="M7" i="4" a="1"/>
  <c r="M7" i="4" s="1"/>
  <c r="M8" i="4" a="1"/>
  <c r="M8" i="4" s="1"/>
  <c r="M9" i="4" a="1"/>
  <c r="M9" i="4" s="1"/>
  <c r="M5" i="4" a="1"/>
  <c r="M5" i="4" s="1"/>
  <c r="E22" i="3"/>
  <c r="F22" i="3"/>
  <c r="E23" i="3"/>
  <c r="F23" i="3"/>
  <c r="E24" i="3"/>
  <c r="F24" i="3"/>
  <c r="E25" i="3"/>
  <c r="F25" i="3"/>
  <c r="D23" i="3"/>
  <c r="D24" i="3"/>
  <c r="D25" i="3"/>
  <c r="D22" i="3"/>
  <c r="F16" i="3"/>
  <c r="F17" i="3"/>
  <c r="F18" i="3"/>
  <c r="F15" i="3"/>
  <c r="E16" i="3"/>
  <c r="E17" i="3"/>
  <c r="E18" i="3"/>
  <c r="E15" i="3"/>
  <c r="D16" i="3"/>
  <c r="D17" i="3"/>
  <c r="D18" i="3"/>
  <c r="D15" i="3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O23" i="1"/>
  <c r="P23" i="1"/>
  <c r="M23" i="1"/>
  <c r="N23" i="1"/>
  <c r="L23" i="1"/>
  <c r="L16" i="1"/>
  <c r="L17" i="1"/>
  <c r="L18" i="1"/>
  <c r="L19" i="1"/>
  <c r="L20" i="1"/>
  <c r="L15" i="1"/>
  <c r="O8" i="1"/>
  <c r="O9" i="1"/>
  <c r="O10" i="1"/>
  <c r="O11" i="1"/>
  <c r="O12" i="1"/>
  <c r="O7" i="1"/>
  <c r="N8" i="1"/>
  <c r="N9" i="1"/>
  <c r="N10" i="1"/>
  <c r="N11" i="1"/>
  <c r="N12" i="1"/>
  <c r="N7" i="1"/>
  <c r="M8" i="1"/>
  <c r="M9" i="1"/>
  <c r="M10" i="1"/>
  <c r="M11" i="1"/>
  <c r="M12" i="1"/>
  <c r="M7" i="1"/>
  <c r="L8" i="1"/>
  <c r="L9" i="1"/>
  <c r="L10" i="1"/>
  <c r="L11" i="1"/>
  <c r="L12" i="1"/>
  <c r="D30" i="3"/>
  <c r="E30" i="3"/>
  <c r="F30" i="3"/>
  <c r="D31" i="3"/>
  <c r="E31" i="3"/>
  <c r="F31" i="3"/>
  <c r="D32" i="3"/>
  <c r="E32" i="3"/>
  <c r="F32" i="3"/>
  <c r="E29" i="3"/>
  <c r="F29" i="3"/>
  <c r="D29" i="3"/>
  <c r="G18" i="3"/>
  <c r="G22" i="3"/>
  <c r="G15" i="3"/>
  <c r="G16" i="3"/>
  <c r="G24" i="3"/>
  <c r="G25" i="3"/>
  <c r="G23" i="3"/>
  <c r="G1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<sst xmlns="http://schemas.openxmlformats.org/spreadsheetml/2006/main" count="726" uniqueCount="193">
  <si>
    <t>Bhavana Rao</t>
  </si>
  <si>
    <t>E024</t>
  </si>
  <si>
    <t>Marketing</t>
  </si>
  <si>
    <t>Marketing Analyst</t>
  </si>
  <si>
    <t>Delhi</t>
  </si>
  <si>
    <t>12-Jun-2025</t>
  </si>
  <si>
    <t>B3</t>
  </si>
  <si>
    <t>Anjali Menon</t>
  </si>
  <si>
    <t>Employee Name</t>
  </si>
  <si>
    <t>Employee ID</t>
  </si>
  <si>
    <t>Department</t>
  </si>
  <si>
    <t>Designation</t>
  </si>
  <si>
    <t>Location</t>
  </si>
  <si>
    <t>Joining Date</t>
  </si>
  <si>
    <t>Salary</t>
  </si>
  <si>
    <t>Grade</t>
  </si>
  <si>
    <t>Manager Name</t>
  </si>
  <si>
    <t>Ramesh Kumar</t>
  </si>
  <si>
    <t>E001</t>
  </si>
  <si>
    <t>Finance</t>
  </si>
  <si>
    <t>Sr. Analyst</t>
  </si>
  <si>
    <t>Mumbai</t>
  </si>
  <si>
    <t>01-Jan-2016</t>
  </si>
  <si>
    <t>B2</t>
  </si>
  <si>
    <t>Deepak Nair</t>
  </si>
  <si>
    <t>Priya Iyer</t>
  </si>
  <si>
    <t>E002</t>
  </si>
  <si>
    <t>Marketing Manager</t>
  </si>
  <si>
    <t>Bengaluru</t>
  </si>
  <si>
    <t>30-May-2016</t>
  </si>
  <si>
    <t>Akash Mehta</t>
  </si>
  <si>
    <t>E003</t>
  </si>
  <si>
    <t>HR</t>
  </si>
  <si>
    <t>HR Executive</t>
  </si>
  <si>
    <t>27-Oct-2016</t>
  </si>
  <si>
    <t>B1</t>
  </si>
  <si>
    <t>Reena Thomas</t>
  </si>
  <si>
    <t>Sunita Rao</t>
  </si>
  <si>
    <t>E004</t>
  </si>
  <si>
    <t>IT</t>
  </si>
  <si>
    <t>Software Engineer</t>
  </si>
  <si>
    <t>Hyderabad</t>
  </si>
  <si>
    <t>26-Mar-2017</t>
  </si>
  <si>
    <t>B4</t>
  </si>
  <si>
    <t>Ravi Gupta</t>
  </si>
  <si>
    <t>Karthik Menon</t>
  </si>
  <si>
    <t>E005</t>
  </si>
  <si>
    <t>Sales</t>
  </si>
  <si>
    <t>Sales Executive</t>
  </si>
  <si>
    <t>Chennai</t>
  </si>
  <si>
    <t>23-Aug-2017</t>
  </si>
  <si>
    <t>Manish Verma</t>
  </si>
  <si>
    <t>Sneha Kapoor</t>
  </si>
  <si>
    <t>Neha Sharma</t>
  </si>
  <si>
    <t>E006</t>
  </si>
  <si>
    <t>Jr. Analyst</t>
  </si>
  <si>
    <t>Pune</t>
  </si>
  <si>
    <t>20-Jan-2018</t>
  </si>
  <si>
    <t>Jyoti Mishra</t>
  </si>
  <si>
    <t>Anil Joshi</t>
  </si>
  <si>
    <t>E007</t>
  </si>
  <si>
    <t>Brand Associate</t>
  </si>
  <si>
    <t>Jaipur</t>
  </si>
  <si>
    <t>19-Jun-2018</t>
  </si>
  <si>
    <t>Arjun Nair</t>
  </si>
  <si>
    <t>Divya Nair</t>
  </si>
  <si>
    <t>E008</t>
  </si>
  <si>
    <t>HR Manager</t>
  </si>
  <si>
    <t>Kochi</t>
  </si>
  <si>
    <t>16-Nov-2018</t>
  </si>
  <si>
    <t>Kavya Sen</t>
  </si>
  <si>
    <t>Rohit Verma</t>
  </si>
  <si>
    <t>E009</t>
  </si>
  <si>
    <t>Tech Lead</t>
  </si>
  <si>
    <t>15-Apr-2019</t>
  </si>
  <si>
    <t>B5</t>
  </si>
  <si>
    <t>Vikas Reddy</t>
  </si>
  <si>
    <t>E010</t>
  </si>
  <si>
    <t>Sales Manager</t>
  </si>
  <si>
    <t>12-Sep-2019</t>
  </si>
  <si>
    <t>E011</t>
  </si>
  <si>
    <t>09-Feb-2020</t>
  </si>
  <si>
    <t>Match</t>
  </si>
  <si>
    <t>Column Num</t>
  </si>
  <si>
    <t>Meena Balan</t>
  </si>
  <si>
    <t>E012</t>
  </si>
  <si>
    <t>HR Assistant</t>
  </si>
  <si>
    <t>08-Jul-2020</t>
  </si>
  <si>
    <t>Harsh Patel</t>
  </si>
  <si>
    <t>E013</t>
  </si>
  <si>
    <t>Finance Manager</t>
  </si>
  <si>
    <t>Ahmedabad</t>
  </si>
  <si>
    <t>05-Dec-2020</t>
  </si>
  <si>
    <t>Swati Singh</t>
  </si>
  <si>
    <t>E014</t>
  </si>
  <si>
    <t>Digital Marketer</t>
  </si>
  <si>
    <t>04-May-2021</t>
  </si>
  <si>
    <t>Tushar Jain</t>
  </si>
  <si>
    <t>E015</t>
  </si>
  <si>
    <t>Area Sales Head</t>
  </si>
  <si>
    <t>01-Oct-2021</t>
  </si>
  <si>
    <t>Pooja Das</t>
  </si>
  <si>
    <t>E016</t>
  </si>
  <si>
    <t>Finance Executive</t>
  </si>
  <si>
    <t>28-Feb-2022</t>
  </si>
  <si>
    <t>E017</t>
  </si>
  <si>
    <t>DevOps Engineer</t>
  </si>
  <si>
    <t>28-Jul-2022</t>
  </si>
  <si>
    <t>Tanvi Shah</t>
  </si>
  <si>
    <t>E018</t>
  </si>
  <si>
    <t>Content Strategist</t>
  </si>
  <si>
    <t>25-Dec-2022</t>
  </si>
  <si>
    <t>Rajeev Pillai</t>
  </si>
  <si>
    <t>E019</t>
  </si>
  <si>
    <t>Recruitment Lead</t>
  </si>
  <si>
    <t>24-May-2023</t>
  </si>
  <si>
    <t>Nidhi Yadav</t>
  </si>
  <si>
    <t>E020</t>
  </si>
  <si>
    <t>Accounts Officer</t>
  </si>
  <si>
    <t>21-Oct-2023</t>
  </si>
  <si>
    <t>Amit Malhotra</t>
  </si>
  <si>
    <t>E021</t>
  </si>
  <si>
    <t>Regional Sales Head</t>
  </si>
  <si>
    <t>19-Mar-2024</t>
  </si>
  <si>
    <t>E022</t>
  </si>
  <si>
    <t>Cloud Architect</t>
  </si>
  <si>
    <t>16-Aug-2024</t>
  </si>
  <si>
    <t>Sandeep Sinha</t>
  </si>
  <si>
    <t>E023</t>
  </si>
  <si>
    <t>HR Generalist</t>
  </si>
  <si>
    <t>13-Jan-2025</t>
  </si>
  <si>
    <t>Zaid Khan</t>
  </si>
  <si>
    <t>E025</t>
  </si>
  <si>
    <t>Chartered Accountant</t>
  </si>
  <si>
    <t>Kolkata</t>
  </si>
  <si>
    <t>09-Nov-2025</t>
  </si>
  <si>
    <t>Ritika Jain</t>
  </si>
  <si>
    <t>E026</t>
  </si>
  <si>
    <t>08-Apr-2026</t>
  </si>
  <si>
    <t>Manoj Paul</t>
  </si>
  <si>
    <t>E027</t>
  </si>
  <si>
    <t>Data Engineer</t>
  </si>
  <si>
    <t>Noida</t>
  </si>
  <si>
    <t>05-Sep-2026</t>
  </si>
  <si>
    <t>Deisgnation</t>
  </si>
  <si>
    <t>Practise</t>
  </si>
  <si>
    <t>Ananya Roy</t>
  </si>
  <si>
    <t>E028</t>
  </si>
  <si>
    <t>Marketing Head</t>
  </si>
  <si>
    <t>02-Feb-2027</t>
  </si>
  <si>
    <t>Vivek Goel</t>
  </si>
  <si>
    <t>E029</t>
  </si>
  <si>
    <t>02-Jul-2027</t>
  </si>
  <si>
    <t>E030</t>
  </si>
  <si>
    <t>Finance Analyst</t>
  </si>
  <si>
    <t>Nagpur</t>
  </si>
  <si>
    <t>29-Nov-2027</t>
  </si>
  <si>
    <t>RowNO</t>
  </si>
  <si>
    <t>EMPID</t>
  </si>
  <si>
    <t>HLookUP Data</t>
  </si>
  <si>
    <t>Hlookup + Mtach</t>
  </si>
  <si>
    <t>Customer Table</t>
  </si>
  <si>
    <t>Customer ID</t>
  </si>
  <si>
    <t>Customer Name</t>
  </si>
  <si>
    <t>Customer City</t>
  </si>
  <si>
    <t>Phn Num</t>
  </si>
  <si>
    <t>Likhitha</t>
  </si>
  <si>
    <t>Roja</t>
  </si>
  <si>
    <t>Priya</t>
  </si>
  <si>
    <t>Karunakar</t>
  </si>
  <si>
    <t>Ganesh</t>
  </si>
  <si>
    <t>AP</t>
  </si>
  <si>
    <t>TG</t>
  </si>
  <si>
    <t>C01</t>
  </si>
  <si>
    <t>C02</t>
  </si>
  <si>
    <t>C03</t>
  </si>
  <si>
    <t>C04</t>
  </si>
  <si>
    <t>C05</t>
  </si>
  <si>
    <t>Order ID</t>
  </si>
  <si>
    <t>Date</t>
  </si>
  <si>
    <t>Product Name</t>
  </si>
  <si>
    <t>Pen</t>
  </si>
  <si>
    <t>Orders Tables</t>
  </si>
  <si>
    <t>Table-array</t>
  </si>
  <si>
    <t>Index</t>
  </si>
  <si>
    <t>Array</t>
  </si>
  <si>
    <t>Row_Num</t>
  </si>
  <si>
    <t>Col_num</t>
  </si>
  <si>
    <t>Entire Dataset</t>
  </si>
  <si>
    <t>Emp_ID</t>
  </si>
  <si>
    <t>Entire Col Names (Array</t>
  </si>
  <si>
    <t>Customer_Name</t>
  </si>
  <si>
    <t>Customer_City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</si>
</sst>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quotePrefix="1" applyBorder="1"/>
    <xf numFmtId="0" fontId="0" fillId="0" borderId="2" xfId="0" applyBorder="1"/>
    <xf numFmtId="0" fontId="0" fillId="0" borderId="0" xfId="0" quotePrefix="1"/>
    <xf numFmtId="0" fontId="2" fillId="3" borderId="1" xfId="0" applyFont="1" applyFill="1" applyBorder="1"/>
    <xf numFmtId="9" fontId="0" fillId="0" borderId="1" xfId="1" applyFont="1" applyBorder="1"/>
    <xf numFmtId="1" fontId="0" fillId="0" borderId="1" xfId="1" applyNumberFormat="1" applyFont="1" applyBorder="1"/>
    <xf numFmtId="9" fontId="2" fillId="3" borderId="1" xfId="1" applyFont="1" applyFill="1" applyBorder="1" applyAlignment="1">
      <alignment horizontal="center" vertical="top"/>
    </xf>
    <xf numFmtId="14" fontId="0" fillId="0" borderId="1" xfId="0" applyNumberFormat="1" applyBorder="1"/>
    <xf numFmtId="0" fontId="2" fillId="5" borderId="1" xfId="0" applyFont="1" applyFill="1" applyBorder="1"/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04E3-1E80-4A6A-A2FD-BC664FF7AA4C}">
  <dimension ref="A2:S36"/>
  <sheetViews>
    <sheetView tabSelected="1" topLeftCell="E1" zoomScale="92" zoomScaleNormal="92" workbookViewId="0">
      <selection activeCell="Q15" sqref="Q15"/>
    </sheetView>
  </sheetViews>
  <sheetFormatPr defaultRowHeight="14.5" x14ac:dyDescent="0.35"/>
  <cols>
    <col min="1" max="1" width="15.7265625" bestFit="1" customWidth="1"/>
    <col min="2" max="2" width="12.1796875" bestFit="1" customWidth="1"/>
    <col min="3" max="3" width="11.7265625" bestFit="1" customWidth="1"/>
    <col min="4" max="4" width="20.54296875" bestFit="1" customWidth="1"/>
    <col min="5" max="5" width="11.7265625" bestFit="1" customWidth="1"/>
    <col min="6" max="6" width="14.54296875" customWidth="1"/>
    <col min="7" max="7" width="13.453125" customWidth="1"/>
    <col min="8" max="8" width="11" customWidth="1"/>
    <col min="9" max="9" width="14.7265625" bestFit="1" customWidth="1"/>
    <col min="11" max="11" width="15.7265625" bestFit="1" customWidth="1"/>
    <col min="12" max="12" width="17.1796875" customWidth="1"/>
    <col min="13" max="13" width="17.26953125" customWidth="1"/>
    <col min="14" max="14" width="16.08984375" bestFit="1" customWidth="1"/>
    <col min="15" max="15" width="14.453125" customWidth="1"/>
    <col min="17" max="17" width="18.54296875" customWidth="1"/>
    <col min="18" max="18" width="14" customWidth="1"/>
  </cols>
  <sheetData>
    <row r="2" spans="1:16" x14ac:dyDescent="0.3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</row>
    <row r="3" spans="1:16" x14ac:dyDescent="0.3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16" x14ac:dyDescent="0.3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65000</v>
      </c>
      <c r="H4" s="1" t="s">
        <v>23</v>
      </c>
      <c r="I4" s="1" t="s">
        <v>24</v>
      </c>
    </row>
    <row r="5" spans="1:16" x14ac:dyDescent="0.35">
      <c r="A5" s="1" t="s">
        <v>25</v>
      </c>
      <c r="B5" s="1" t="s">
        <v>26</v>
      </c>
      <c r="C5" s="1" t="s">
        <v>2</v>
      </c>
      <c r="D5" s="1" t="s">
        <v>27</v>
      </c>
      <c r="E5" s="1" t="s">
        <v>28</v>
      </c>
      <c r="F5" s="1" t="s">
        <v>29</v>
      </c>
      <c r="G5" s="1">
        <v>78000</v>
      </c>
      <c r="H5" s="1" t="s">
        <v>6</v>
      </c>
      <c r="I5" s="1" t="s">
        <v>7</v>
      </c>
    </row>
    <row r="6" spans="1:16" x14ac:dyDescent="0.35">
      <c r="A6" s="1" t="s">
        <v>30</v>
      </c>
      <c r="B6" s="1" t="s">
        <v>31</v>
      </c>
      <c r="C6" s="1" t="s">
        <v>32</v>
      </c>
      <c r="D6" s="1" t="s">
        <v>33</v>
      </c>
      <c r="E6" s="1" t="s">
        <v>4</v>
      </c>
      <c r="F6" s="1" t="s">
        <v>34</v>
      </c>
      <c r="G6" s="1">
        <v>50000</v>
      </c>
      <c r="H6" s="1" t="s">
        <v>35</v>
      </c>
      <c r="I6" s="1" t="s">
        <v>36</v>
      </c>
      <c r="K6" s="3" t="s">
        <v>8</v>
      </c>
      <c r="L6" s="3" t="s">
        <v>14</v>
      </c>
      <c r="M6" s="3" t="s">
        <v>10</v>
      </c>
      <c r="N6" s="3" t="s">
        <v>11</v>
      </c>
      <c r="O6" s="3" t="s">
        <v>12</v>
      </c>
      <c r="P6" s="3" t="s">
        <v>14</v>
      </c>
    </row>
    <row r="7" spans="1:16" x14ac:dyDescent="0.3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>
        <v>85000</v>
      </c>
      <c r="H7" s="1" t="s">
        <v>43</v>
      </c>
      <c r="I7" s="1" t="s">
        <v>44</v>
      </c>
      <c r="K7" s="1" t="s">
        <v>0</v>
      </c>
      <c r="L7" s="4">
        <f>VLOOKUP(K7,Employee_SALESDATA,7,FALSE)</f>
        <v>71000</v>
      </c>
      <c r="M7" s="1" t="str">
        <f>VLOOKUP(K7,Employee_SALESDATA,3,FALSE)</f>
        <v>Marketing</v>
      </c>
      <c r="N7" s="1" t="str">
        <f>VLOOKUP(K7,Employee_SALESDATA,4,FALSE)</f>
        <v>Marketing Analyst</v>
      </c>
      <c r="O7" s="1" t="str">
        <f>VLOOKUP(K7,Employee_SALESDATA,5,FALSE)</f>
        <v>Delhi</v>
      </c>
      <c r="P7" s="1">
        <f>VLOOKUP(K7,Employee_SALESDATA,7,FALSE)</f>
        <v>71000</v>
      </c>
    </row>
    <row r="8" spans="1:16" x14ac:dyDescent="0.3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>
        <v>55000</v>
      </c>
      <c r="H8" s="1" t="s">
        <v>23</v>
      </c>
      <c r="I8" s="1" t="s">
        <v>51</v>
      </c>
      <c r="K8" s="1" t="s">
        <v>52</v>
      </c>
      <c r="L8" s="4">
        <f>VLOOKUP(K8,Employee_SALESDATA,7,FALSE)</f>
        <v>73000</v>
      </c>
      <c r="M8" s="1" t="str">
        <f>VLOOKUP(K8,Employee_SALESDATA,3,FALSE)</f>
        <v>Sales</v>
      </c>
      <c r="N8" s="1" t="str">
        <f>VLOOKUP(K8,Employee_SALESDATA,4,FALSE)</f>
        <v>Sales Manager</v>
      </c>
      <c r="O8" s="1" t="str">
        <f>VLOOKUP(K8,Employee_SALESDATA,5,FALSE)</f>
        <v>Delhi</v>
      </c>
      <c r="P8" s="1">
        <f>VLOOKUP(K8,Employee_SALESDATA,7,FALSE)</f>
        <v>73000</v>
      </c>
    </row>
    <row r="9" spans="1:16" x14ac:dyDescent="0.35">
      <c r="A9" s="1" t="s">
        <v>53</v>
      </c>
      <c r="B9" s="1" t="s">
        <v>54</v>
      </c>
      <c r="C9" s="1" t="s">
        <v>19</v>
      </c>
      <c r="D9" s="1" t="s">
        <v>55</v>
      </c>
      <c r="E9" s="1" t="s">
        <v>56</v>
      </c>
      <c r="F9" s="1" t="s">
        <v>57</v>
      </c>
      <c r="G9" s="1">
        <v>48000</v>
      </c>
      <c r="H9" s="1" t="s">
        <v>35</v>
      </c>
      <c r="I9" s="1" t="s">
        <v>24</v>
      </c>
      <c r="K9" s="1" t="s">
        <v>58</v>
      </c>
      <c r="L9" s="4">
        <f>VLOOKUP(K9,Employee_SALESDATA,7,FALSE)</f>
        <v>60000</v>
      </c>
      <c r="M9" s="1" t="str">
        <f>VLOOKUP(K9,Employee_SALESDATA,3,FALSE)</f>
        <v>Finance</v>
      </c>
      <c r="N9" s="1" t="str">
        <f>VLOOKUP(K9,Employee_SALESDATA,4,FALSE)</f>
        <v>Finance Analyst</v>
      </c>
      <c r="O9" s="1" t="str">
        <f>VLOOKUP(K9,Employee_SALESDATA,5,FALSE)</f>
        <v>Nagpur</v>
      </c>
      <c r="P9" s="1">
        <f>VLOOKUP(K9,Employee_SALESDATA,7,FALSE)</f>
        <v>60000</v>
      </c>
    </row>
    <row r="10" spans="1:16" x14ac:dyDescent="0.35">
      <c r="A10" s="1" t="s">
        <v>59</v>
      </c>
      <c r="B10" s="1" t="s">
        <v>60</v>
      </c>
      <c r="C10" s="1" t="s">
        <v>2</v>
      </c>
      <c r="D10" s="1" t="s">
        <v>61</v>
      </c>
      <c r="E10" s="1" t="s">
        <v>62</v>
      </c>
      <c r="F10" s="1" t="s">
        <v>63</v>
      </c>
      <c r="G10" s="1">
        <v>60000</v>
      </c>
      <c r="H10" s="1" t="s">
        <v>23</v>
      </c>
      <c r="I10" s="1" t="s">
        <v>7</v>
      </c>
      <c r="K10" s="1" t="s">
        <v>64</v>
      </c>
      <c r="L10" s="4">
        <f>VLOOKUP(K10,Employee_SALESDATA,7,FALSE)</f>
        <v>88000</v>
      </c>
      <c r="M10" s="1" t="str">
        <f>VLOOKUP(K10,Employee_SALESDATA,3,FALSE)</f>
        <v>IT</v>
      </c>
      <c r="N10" s="1" t="str">
        <f>VLOOKUP(K10,Employee_SALESDATA,4,FALSE)</f>
        <v>DevOps Engineer</v>
      </c>
      <c r="O10" s="1" t="str">
        <f>VLOOKUP(K10,Employee_SALESDATA,5,FALSE)</f>
        <v>Bengaluru</v>
      </c>
      <c r="P10" s="1">
        <f>VLOOKUP(K10,Employee_SALESDATA,7,FALSE)</f>
        <v>88000</v>
      </c>
    </row>
    <row r="11" spans="1:16" x14ac:dyDescent="0.35">
      <c r="A11" s="1" t="s">
        <v>65</v>
      </c>
      <c r="B11" s="1" t="s">
        <v>66</v>
      </c>
      <c r="C11" s="1" t="s">
        <v>32</v>
      </c>
      <c r="D11" s="1" t="s">
        <v>67</v>
      </c>
      <c r="E11" s="1" t="s">
        <v>68</v>
      </c>
      <c r="F11" s="1" t="s">
        <v>69</v>
      </c>
      <c r="G11" s="1">
        <v>70000</v>
      </c>
      <c r="H11" s="1" t="s">
        <v>6</v>
      </c>
      <c r="I11" s="1" t="s">
        <v>36</v>
      </c>
      <c r="K11" s="1" t="s">
        <v>70</v>
      </c>
      <c r="L11" s="4">
        <f>VLOOKUP(K11,Employee_SALESDATA,7,FALSE)</f>
        <v>91000</v>
      </c>
      <c r="M11" s="1" t="str">
        <f>VLOOKUP(K11,Employee_SALESDATA,3,FALSE)</f>
        <v>IT</v>
      </c>
      <c r="N11" s="1" t="str">
        <f>VLOOKUP(K11,Employee_SALESDATA,4,FALSE)</f>
        <v>Cloud Architect</v>
      </c>
      <c r="O11" s="1" t="str">
        <f>VLOOKUP(K11,Employee_SALESDATA,5,FALSE)</f>
        <v>Mumbai</v>
      </c>
      <c r="P11" s="1">
        <f>VLOOKUP(K11,Employee_SALESDATA,7,FALSE)</f>
        <v>91000</v>
      </c>
    </row>
    <row r="12" spans="1:16" x14ac:dyDescent="0.35">
      <c r="A12" s="1" t="s">
        <v>71</v>
      </c>
      <c r="B12" s="1" t="s">
        <v>72</v>
      </c>
      <c r="C12" s="1" t="s">
        <v>39</v>
      </c>
      <c r="D12" s="1" t="s">
        <v>73</v>
      </c>
      <c r="E12" s="1" t="s">
        <v>21</v>
      </c>
      <c r="F12" s="1" t="s">
        <v>74</v>
      </c>
      <c r="G12" s="1">
        <v>95000</v>
      </c>
      <c r="H12" s="1" t="s">
        <v>75</v>
      </c>
      <c r="I12" s="1" t="s">
        <v>44</v>
      </c>
      <c r="K12" s="1" t="s">
        <v>76</v>
      </c>
      <c r="L12" s="4">
        <f>VLOOKUP(K12,Employee_SALESDATA,7,FALSE)</f>
        <v>87000</v>
      </c>
      <c r="M12" s="1" t="str">
        <f>VLOOKUP(K12,Employee_SALESDATA,3,FALSE)</f>
        <v>IT</v>
      </c>
      <c r="N12" s="1" t="str">
        <f>VLOOKUP(K12,Employee_SALESDATA,4,FALSE)</f>
        <v>Software Engineer</v>
      </c>
      <c r="O12" s="1" t="str">
        <f>VLOOKUP(K12,Employee_SALESDATA,5,FALSE)</f>
        <v>Hyderabad</v>
      </c>
      <c r="P12" s="1">
        <f>VLOOKUP(K12,Employee_SALESDATA,7,FALSE)</f>
        <v>87000</v>
      </c>
    </row>
    <row r="13" spans="1:16" x14ac:dyDescent="0.35">
      <c r="A13" s="1" t="s">
        <v>52</v>
      </c>
      <c r="B13" s="1" t="s">
        <v>77</v>
      </c>
      <c r="C13" s="1" t="s">
        <v>47</v>
      </c>
      <c r="D13" s="1" t="s">
        <v>78</v>
      </c>
      <c r="E13" s="1" t="s">
        <v>4</v>
      </c>
      <c r="F13" s="1" t="s">
        <v>79</v>
      </c>
      <c r="G13" s="1">
        <v>73000</v>
      </c>
      <c r="H13" s="1" t="s">
        <v>6</v>
      </c>
      <c r="I13" s="1" t="s">
        <v>51</v>
      </c>
    </row>
    <row r="14" spans="1:16" x14ac:dyDescent="0.35">
      <c r="A14" s="1" t="s">
        <v>76</v>
      </c>
      <c r="B14" s="1" t="s">
        <v>80</v>
      </c>
      <c r="C14" s="1" t="s">
        <v>39</v>
      </c>
      <c r="D14" s="1" t="s">
        <v>40</v>
      </c>
      <c r="E14" s="1" t="s">
        <v>41</v>
      </c>
      <c r="F14" s="1" t="s">
        <v>81</v>
      </c>
      <c r="G14" s="1">
        <v>87000</v>
      </c>
      <c r="H14" s="1" t="s">
        <v>43</v>
      </c>
      <c r="I14" s="1" t="s">
        <v>44</v>
      </c>
      <c r="K14" s="7" t="s">
        <v>82</v>
      </c>
      <c r="L14" s="7" t="s">
        <v>83</v>
      </c>
    </row>
    <row r="15" spans="1:16" x14ac:dyDescent="0.35">
      <c r="A15" s="1" t="s">
        <v>84</v>
      </c>
      <c r="B15" s="1" t="s">
        <v>85</v>
      </c>
      <c r="C15" s="1" t="s">
        <v>32</v>
      </c>
      <c r="D15" s="1" t="s">
        <v>86</v>
      </c>
      <c r="E15" s="1" t="s">
        <v>68</v>
      </c>
      <c r="F15" s="1" t="s">
        <v>87</v>
      </c>
      <c r="G15" s="1">
        <v>52000</v>
      </c>
      <c r="H15" s="1" t="s">
        <v>35</v>
      </c>
      <c r="I15" s="1" t="s">
        <v>36</v>
      </c>
      <c r="K15" s="1" t="s">
        <v>8</v>
      </c>
      <c r="L15" s="1">
        <f>MATCH(K15,Emp_DATASET,0)</f>
        <v>1</v>
      </c>
      <c r="M15" s="5"/>
    </row>
    <row r="16" spans="1:16" x14ac:dyDescent="0.35">
      <c r="A16" s="1" t="s">
        <v>88</v>
      </c>
      <c r="B16" s="1" t="s">
        <v>89</v>
      </c>
      <c r="C16" s="1" t="s">
        <v>19</v>
      </c>
      <c r="D16" s="1" t="s">
        <v>90</v>
      </c>
      <c r="E16" s="1" t="s">
        <v>91</v>
      </c>
      <c r="F16" s="1" t="s">
        <v>92</v>
      </c>
      <c r="G16" s="1">
        <v>90000</v>
      </c>
      <c r="H16" s="1" t="s">
        <v>75</v>
      </c>
      <c r="I16" s="1" t="s">
        <v>24</v>
      </c>
      <c r="K16" s="1" t="s">
        <v>9</v>
      </c>
      <c r="L16" s="1">
        <f>MATCH(K16,Emp_DATASET,0)</f>
        <v>2</v>
      </c>
      <c r="M16" s="5"/>
    </row>
    <row r="17" spans="1:19" x14ac:dyDescent="0.35">
      <c r="A17" s="1" t="s">
        <v>93</v>
      </c>
      <c r="B17" s="1" t="s">
        <v>94</v>
      </c>
      <c r="C17" s="1" t="s">
        <v>2</v>
      </c>
      <c r="D17" s="1" t="s">
        <v>95</v>
      </c>
      <c r="E17" s="1" t="s">
        <v>56</v>
      </c>
      <c r="F17" s="1" t="s">
        <v>96</v>
      </c>
      <c r="G17" s="1">
        <v>68000</v>
      </c>
      <c r="H17" s="1" t="s">
        <v>6</v>
      </c>
      <c r="I17" s="1" t="s">
        <v>7</v>
      </c>
      <c r="K17" s="1" t="s">
        <v>10</v>
      </c>
      <c r="L17" s="1">
        <f>MATCH(K17,Emp_DATASET,0)</f>
        <v>3</v>
      </c>
      <c r="M17" s="5"/>
    </row>
    <row r="18" spans="1:19" x14ac:dyDescent="0.35">
      <c r="A18" s="1" t="s">
        <v>97</v>
      </c>
      <c r="B18" s="1" t="s">
        <v>98</v>
      </c>
      <c r="C18" s="1" t="s">
        <v>47</v>
      </c>
      <c r="D18" s="1" t="s">
        <v>99</v>
      </c>
      <c r="E18" s="1" t="s">
        <v>21</v>
      </c>
      <c r="F18" s="1" t="s">
        <v>100</v>
      </c>
      <c r="G18" s="1">
        <v>75000</v>
      </c>
      <c r="H18" s="1" t="s">
        <v>43</v>
      </c>
      <c r="I18" s="1" t="s">
        <v>51</v>
      </c>
      <c r="K18" s="1" t="s">
        <v>16</v>
      </c>
      <c r="L18" s="1">
        <f>MATCH(K18,Emp_DATASET,0)</f>
        <v>9</v>
      </c>
      <c r="M18" s="5"/>
    </row>
    <row r="19" spans="1:19" x14ac:dyDescent="0.35">
      <c r="A19" s="1" t="s">
        <v>101</v>
      </c>
      <c r="B19" s="1" t="s">
        <v>102</v>
      </c>
      <c r="C19" s="1" t="s">
        <v>19</v>
      </c>
      <c r="D19" s="1" t="s">
        <v>103</v>
      </c>
      <c r="E19" s="1" t="s">
        <v>49</v>
      </c>
      <c r="F19" s="1" t="s">
        <v>104</v>
      </c>
      <c r="G19" s="1">
        <v>62000</v>
      </c>
      <c r="H19" s="1" t="s">
        <v>23</v>
      </c>
      <c r="I19" s="1" t="s">
        <v>24</v>
      </c>
      <c r="K19" s="1" t="s">
        <v>12</v>
      </c>
      <c r="L19" s="1">
        <f>MATCH(K19,Emp_DATASET,0)</f>
        <v>5</v>
      </c>
      <c r="M19" s="5"/>
    </row>
    <row r="20" spans="1:19" x14ac:dyDescent="0.35">
      <c r="A20" s="1" t="s">
        <v>64</v>
      </c>
      <c r="B20" s="1" t="s">
        <v>105</v>
      </c>
      <c r="C20" s="1" t="s">
        <v>39</v>
      </c>
      <c r="D20" s="1" t="s">
        <v>106</v>
      </c>
      <c r="E20" s="1" t="s">
        <v>28</v>
      </c>
      <c r="F20" s="1" t="s">
        <v>107</v>
      </c>
      <c r="G20" s="1">
        <v>88000</v>
      </c>
      <c r="H20" s="1" t="s">
        <v>43</v>
      </c>
      <c r="I20" s="1" t="s">
        <v>44</v>
      </c>
      <c r="K20" s="1" t="s">
        <v>14</v>
      </c>
      <c r="L20" s="1">
        <f>MATCH(K20,Emp_DATASET,0)</f>
        <v>7</v>
      </c>
      <c r="M20" s="5"/>
      <c r="N20" s="6"/>
    </row>
    <row r="21" spans="1:19" x14ac:dyDescent="0.35">
      <c r="A21" s="1" t="s">
        <v>108</v>
      </c>
      <c r="B21" s="1" t="s">
        <v>109</v>
      </c>
      <c r="C21" s="1" t="s">
        <v>2</v>
      </c>
      <c r="D21" s="1" t="s">
        <v>110</v>
      </c>
      <c r="E21" s="1" t="s">
        <v>62</v>
      </c>
      <c r="F21" s="1" t="s">
        <v>111</v>
      </c>
      <c r="G21" s="1">
        <v>69000</v>
      </c>
      <c r="H21" s="1" t="s">
        <v>6</v>
      </c>
      <c r="I21" s="1" t="s">
        <v>7</v>
      </c>
      <c r="L21" s="6"/>
    </row>
    <row r="22" spans="1:19" x14ac:dyDescent="0.35">
      <c r="A22" s="1" t="s">
        <v>112</v>
      </c>
      <c r="B22" s="1" t="s">
        <v>113</v>
      </c>
      <c r="C22" s="1" t="s">
        <v>32</v>
      </c>
      <c r="D22" s="1" t="s">
        <v>114</v>
      </c>
      <c r="E22" s="1" t="s">
        <v>4</v>
      </c>
      <c r="F22" s="1" t="s">
        <v>115</v>
      </c>
      <c r="G22" s="1">
        <v>57000</v>
      </c>
      <c r="H22" s="1" t="s">
        <v>23</v>
      </c>
      <c r="I22" s="1" t="s">
        <v>36</v>
      </c>
      <c r="K22" s="3" t="s">
        <v>8</v>
      </c>
      <c r="L22" s="3" t="s">
        <v>14</v>
      </c>
      <c r="M22" s="3" t="s">
        <v>10</v>
      </c>
      <c r="N22" s="3" t="s">
        <v>11</v>
      </c>
      <c r="O22" s="3" t="s">
        <v>12</v>
      </c>
      <c r="P22" s="3" t="s">
        <v>14</v>
      </c>
    </row>
    <row r="23" spans="1:19" x14ac:dyDescent="0.35">
      <c r="A23" s="1" t="s">
        <v>116</v>
      </c>
      <c r="B23" s="1" t="s">
        <v>117</v>
      </c>
      <c r="C23" s="1" t="s">
        <v>19</v>
      </c>
      <c r="D23" s="1" t="s">
        <v>118</v>
      </c>
      <c r="E23" s="1" t="s">
        <v>41</v>
      </c>
      <c r="F23" s="1" t="s">
        <v>119</v>
      </c>
      <c r="G23" s="1">
        <v>61000</v>
      </c>
      <c r="H23" s="1" t="s">
        <v>23</v>
      </c>
      <c r="I23" s="1" t="s">
        <v>24</v>
      </c>
      <c r="K23" s="1" t="s">
        <v>0</v>
      </c>
      <c r="L23" s="1">
        <f>VLOOKUP($K23,Employee_SALESDATA,MATCH(L$22,Emp_DATASET,0),0)</f>
        <v>71000</v>
      </c>
      <c r="M23" s="1" t="str">
        <f>VLOOKUP($K23,Employee_SALESDATA,MATCH(M$22,Emp_DATASET,0),0)</f>
        <v>Marketing</v>
      </c>
      <c r="N23" s="1" t="str">
        <f>VLOOKUP($K23,Employee_SALESDATA,MATCH(N$22,Emp_DATASET,0),0)</f>
        <v>Marketing Analyst</v>
      </c>
      <c r="O23" s="1" t="str">
        <f>VLOOKUP($K23,Employee_SALESDATA,MATCH(O$22,Emp_DATASET,0),0)</f>
        <v>Delhi</v>
      </c>
      <c r="P23" s="1">
        <f>VLOOKUP($K23,Employee_SALESDATA,MATCH(P$22,Emp_DATASET,0),0)</f>
        <v>71000</v>
      </c>
    </row>
    <row r="24" spans="1:19" x14ac:dyDescent="0.35">
      <c r="A24" s="1" t="s">
        <v>120</v>
      </c>
      <c r="B24" s="1" t="s">
        <v>121</v>
      </c>
      <c r="C24" s="1" t="s">
        <v>47</v>
      </c>
      <c r="D24" s="1" t="s">
        <v>122</v>
      </c>
      <c r="E24" s="1" t="s">
        <v>56</v>
      </c>
      <c r="F24" s="1" t="s">
        <v>123</v>
      </c>
      <c r="G24" s="1">
        <v>80000</v>
      </c>
      <c r="H24" s="1" t="s">
        <v>43</v>
      </c>
      <c r="I24" s="1" t="s">
        <v>51</v>
      </c>
      <c r="K24" s="1" t="s">
        <v>52</v>
      </c>
      <c r="L24" s="1">
        <f>VLOOKUP($K24,Employee_SALESDATA,MATCH(L$22,Emp_DATASET,0),0)</f>
        <v>73000</v>
      </c>
      <c r="M24" s="1" t="str">
        <f>VLOOKUP($K24,Employee_SALESDATA,MATCH(M$22,Emp_DATASET,0),0)</f>
        <v>Sales</v>
      </c>
      <c r="N24" s="1" t="str">
        <f>VLOOKUP($K24,Employee_SALESDATA,MATCH(N$22,Emp_DATASET,0),0)</f>
        <v>Sales Manager</v>
      </c>
      <c r="O24" s="1" t="str">
        <f>VLOOKUP($K24,Employee_SALESDATA,MATCH(O$22,Emp_DATASET,0),0)</f>
        <v>Delhi</v>
      </c>
      <c r="P24" s="1">
        <f>VLOOKUP($K24,Employee_SALESDATA,MATCH(P$22,Emp_DATASET,0),0)</f>
        <v>73000</v>
      </c>
    </row>
    <row r="25" spans="1:19" x14ac:dyDescent="0.35">
      <c r="A25" s="1" t="s">
        <v>70</v>
      </c>
      <c r="B25" s="1" t="s">
        <v>124</v>
      </c>
      <c r="C25" s="1" t="s">
        <v>39</v>
      </c>
      <c r="D25" s="1" t="s">
        <v>125</v>
      </c>
      <c r="E25" s="1" t="s">
        <v>21</v>
      </c>
      <c r="F25" s="1" t="s">
        <v>126</v>
      </c>
      <c r="G25" s="1">
        <v>91000</v>
      </c>
      <c r="H25" s="1" t="s">
        <v>75</v>
      </c>
      <c r="I25" s="1" t="s">
        <v>44</v>
      </c>
      <c r="K25" s="1" t="s">
        <v>58</v>
      </c>
      <c r="L25" s="1">
        <f>VLOOKUP($K25,Employee_SALESDATA,MATCH(L$22,Emp_DATASET,0),0)</f>
        <v>60000</v>
      </c>
      <c r="M25" s="1" t="str">
        <f>VLOOKUP($K25,Employee_SALESDATA,MATCH(M$22,Emp_DATASET,0),0)</f>
        <v>Finance</v>
      </c>
      <c r="N25" s="1" t="str">
        <f>VLOOKUP($K25,Employee_SALESDATA,MATCH(N$22,Emp_DATASET,0),0)</f>
        <v>Finance Analyst</v>
      </c>
      <c r="O25" s="1" t="str">
        <f>VLOOKUP($K25,Employee_SALESDATA,MATCH(O$22,Emp_DATASET,0),0)</f>
        <v>Nagpur</v>
      </c>
      <c r="P25" s="1">
        <f>VLOOKUP($K25,Employee_SALESDATA,MATCH(P$22,Emp_DATASET,0),0)</f>
        <v>60000</v>
      </c>
    </row>
    <row r="26" spans="1:19" x14ac:dyDescent="0.35">
      <c r="A26" s="1" t="s">
        <v>127</v>
      </c>
      <c r="B26" s="1" t="s">
        <v>128</v>
      </c>
      <c r="C26" s="1" t="s">
        <v>32</v>
      </c>
      <c r="D26" s="1" t="s">
        <v>129</v>
      </c>
      <c r="E26" s="1" t="s">
        <v>49</v>
      </c>
      <c r="F26" s="1" t="s">
        <v>130</v>
      </c>
      <c r="G26" s="1">
        <v>54000</v>
      </c>
      <c r="H26" s="1" t="s">
        <v>23</v>
      </c>
      <c r="I26" s="1" t="s">
        <v>36</v>
      </c>
      <c r="K26" s="1" t="s">
        <v>64</v>
      </c>
      <c r="L26" s="1">
        <f>VLOOKUP($K26,Employee_SALESDATA,MATCH(L$22,Emp_DATASET,0),0)</f>
        <v>88000</v>
      </c>
      <c r="M26" s="1" t="str">
        <f>VLOOKUP($K26,Employee_SALESDATA,MATCH(M$22,Emp_DATASET,0),0)</f>
        <v>IT</v>
      </c>
      <c r="N26" s="1" t="str">
        <f>VLOOKUP($K26,Employee_SALESDATA,MATCH(N$22,Emp_DATASET,0),0)</f>
        <v>DevOps Engineer</v>
      </c>
      <c r="O26" s="1" t="str">
        <f>VLOOKUP($K26,Employee_SALESDATA,MATCH(O$22,Emp_DATASET,0),0)</f>
        <v>Bengaluru</v>
      </c>
      <c r="P26" s="1">
        <f>VLOOKUP($K26,Employee_SALESDATA,MATCH(P$22,Emp_DATASET,0),0)</f>
        <v>88000</v>
      </c>
    </row>
    <row r="27" spans="1:19" x14ac:dyDescent="0.3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>
        <v>71000</v>
      </c>
      <c r="H27" s="1" t="s">
        <v>6</v>
      </c>
      <c r="I27" s="1" t="s">
        <v>7</v>
      </c>
      <c r="K27" s="1" t="s">
        <v>70</v>
      </c>
      <c r="L27" s="1">
        <f>VLOOKUP($K27,Employee_SALESDATA,MATCH(L$22,Emp_DATASET,0),0)</f>
        <v>91000</v>
      </c>
      <c r="M27" s="1" t="str">
        <f>VLOOKUP($K27,Employee_SALESDATA,MATCH(M$22,Emp_DATASET,0),0)</f>
        <v>IT</v>
      </c>
      <c r="N27" s="1" t="str">
        <f>VLOOKUP($K27,Employee_SALESDATA,MATCH(N$22,Emp_DATASET,0),0)</f>
        <v>Cloud Architect</v>
      </c>
      <c r="O27" s="1" t="str">
        <f>VLOOKUP($K27,Employee_SALESDATA,MATCH(O$22,Emp_DATASET,0),0)</f>
        <v>Mumbai</v>
      </c>
      <c r="P27" s="1">
        <f>VLOOKUP($K27,Employee_SALESDATA,MATCH(P$22,Emp_DATASET,0),0)</f>
        <v>91000</v>
      </c>
    </row>
    <row r="28" spans="1:19" x14ac:dyDescent="0.35">
      <c r="A28" s="1" t="s">
        <v>131</v>
      </c>
      <c r="B28" s="1" t="s">
        <v>132</v>
      </c>
      <c r="C28" s="1" t="s">
        <v>19</v>
      </c>
      <c r="D28" s="1" t="s">
        <v>133</v>
      </c>
      <c r="E28" s="1" t="s">
        <v>134</v>
      </c>
      <c r="F28" s="1" t="s">
        <v>135</v>
      </c>
      <c r="G28" s="1">
        <v>94000</v>
      </c>
      <c r="H28" s="1" t="s">
        <v>75</v>
      </c>
      <c r="I28" s="1" t="s">
        <v>24</v>
      </c>
      <c r="K28" s="1" t="s">
        <v>76</v>
      </c>
      <c r="L28" s="1">
        <f>VLOOKUP($K28,Employee_SALESDATA,MATCH(L$22,Emp_DATASET,0),0)</f>
        <v>87000</v>
      </c>
      <c r="M28" s="1" t="str">
        <f>VLOOKUP($K28,Employee_SALESDATA,MATCH(M$22,Emp_DATASET,0),0)</f>
        <v>IT</v>
      </c>
      <c r="N28" s="1" t="str">
        <f>VLOOKUP($K28,Employee_SALESDATA,MATCH(N$22,Emp_DATASET,0),0)</f>
        <v>Software Engineer</v>
      </c>
      <c r="O28" s="1" t="str">
        <f>VLOOKUP($K28,Employee_SALESDATA,MATCH(O$22,Emp_DATASET,0),0)</f>
        <v>Hyderabad</v>
      </c>
      <c r="P28" s="1">
        <f>VLOOKUP($K28,Employee_SALESDATA,MATCH(P$22,Emp_DATASET,0),0)</f>
        <v>87000</v>
      </c>
    </row>
    <row r="29" spans="1:19" x14ac:dyDescent="0.35">
      <c r="A29" s="1" t="s">
        <v>136</v>
      </c>
      <c r="B29" s="1" t="s">
        <v>137</v>
      </c>
      <c r="C29" s="1" t="s">
        <v>47</v>
      </c>
      <c r="D29" s="1" t="s">
        <v>48</v>
      </c>
      <c r="E29" s="1" t="s">
        <v>28</v>
      </c>
      <c r="F29" s="1" t="s">
        <v>138</v>
      </c>
      <c r="G29" s="1">
        <v>59000</v>
      </c>
      <c r="H29" s="1" t="s">
        <v>23</v>
      </c>
      <c r="I29" s="1" t="s">
        <v>51</v>
      </c>
    </row>
    <row r="30" spans="1:19" x14ac:dyDescent="0.35">
      <c r="A30" s="1" t="s">
        <v>139</v>
      </c>
      <c r="B30" s="1" t="s">
        <v>140</v>
      </c>
      <c r="C30" s="1" t="s">
        <v>39</v>
      </c>
      <c r="D30" s="1" t="s">
        <v>141</v>
      </c>
      <c r="E30" s="1" t="s">
        <v>142</v>
      </c>
      <c r="F30" s="1" t="s">
        <v>143</v>
      </c>
      <c r="G30" s="1">
        <v>89000</v>
      </c>
      <c r="H30" s="1" t="s">
        <v>75</v>
      </c>
      <c r="I30" s="1" t="s">
        <v>44</v>
      </c>
      <c r="K30" s="3" t="s">
        <v>8</v>
      </c>
      <c r="L30" s="7" t="s">
        <v>9</v>
      </c>
      <c r="M30" s="7" t="s">
        <v>14</v>
      </c>
      <c r="N30" s="7" t="s">
        <v>10</v>
      </c>
      <c r="O30" s="7" t="s">
        <v>144</v>
      </c>
      <c r="P30" s="7" t="s">
        <v>12</v>
      </c>
      <c r="Q30" s="3" t="s">
        <v>13</v>
      </c>
      <c r="R30" s="7" t="s">
        <v>145</v>
      </c>
    </row>
    <row r="31" spans="1:19" x14ac:dyDescent="0.35">
      <c r="A31" s="1" t="s">
        <v>146</v>
      </c>
      <c r="B31" s="1" t="s">
        <v>147</v>
      </c>
      <c r="C31" s="1" t="s">
        <v>2</v>
      </c>
      <c r="D31" s="1" t="s">
        <v>148</v>
      </c>
      <c r="E31" s="1" t="s">
        <v>68</v>
      </c>
      <c r="F31" s="1" t="s">
        <v>149</v>
      </c>
      <c r="G31" s="1">
        <v>86000</v>
      </c>
      <c r="H31" s="1" t="s">
        <v>43</v>
      </c>
      <c r="I31" s="1" t="s">
        <v>7</v>
      </c>
      <c r="K31" s="1" t="s">
        <v>0</v>
      </c>
      <c r="L31" s="1"/>
      <c r="M31" s="1"/>
      <c r="N31" s="1"/>
      <c r="O31" s="1"/>
      <c r="P31" s="1"/>
      <c r="Q31" s="1"/>
      <c r="R31" s="1"/>
      <c r="S31" s="1"/>
    </row>
    <row r="32" spans="1:19" x14ac:dyDescent="0.35">
      <c r="A32" s="1" t="s">
        <v>150</v>
      </c>
      <c r="B32" s="1" t="s">
        <v>151</v>
      </c>
      <c r="C32" s="1" t="s">
        <v>32</v>
      </c>
      <c r="D32" s="1" t="s">
        <v>33</v>
      </c>
      <c r="E32" s="1" t="s">
        <v>21</v>
      </c>
      <c r="F32" s="1" t="s">
        <v>152</v>
      </c>
      <c r="G32" s="1">
        <v>53000</v>
      </c>
      <c r="H32" s="1" t="s">
        <v>35</v>
      </c>
      <c r="I32" s="1" t="s">
        <v>36</v>
      </c>
      <c r="K32" s="1" t="s">
        <v>52</v>
      </c>
      <c r="L32" s="1"/>
      <c r="M32" s="1"/>
      <c r="N32" s="1"/>
      <c r="O32" s="1"/>
      <c r="P32" s="1"/>
      <c r="Q32" s="1"/>
      <c r="R32" s="1"/>
      <c r="S32" s="1"/>
    </row>
    <row r="33" spans="1:19" x14ac:dyDescent="0.35">
      <c r="A33" s="1" t="s">
        <v>58</v>
      </c>
      <c r="B33" s="1" t="s">
        <v>153</v>
      </c>
      <c r="C33" s="1" t="s">
        <v>19</v>
      </c>
      <c r="D33" s="1" t="s">
        <v>154</v>
      </c>
      <c r="E33" s="1" t="s">
        <v>155</v>
      </c>
      <c r="F33" s="1" t="s">
        <v>156</v>
      </c>
      <c r="G33" s="1">
        <v>60000</v>
      </c>
      <c r="H33" s="1" t="s">
        <v>23</v>
      </c>
      <c r="I33" s="1" t="s">
        <v>24</v>
      </c>
      <c r="K33" s="1" t="s">
        <v>58</v>
      </c>
      <c r="L33" s="1"/>
      <c r="M33" s="1"/>
      <c r="N33" s="1"/>
      <c r="O33" s="1"/>
      <c r="P33" s="1"/>
      <c r="Q33" s="1"/>
      <c r="R33" s="1"/>
      <c r="S33" s="1"/>
    </row>
    <row r="34" spans="1:19" x14ac:dyDescent="0.35">
      <c r="K34" s="1" t="s">
        <v>64</v>
      </c>
      <c r="L34" s="1"/>
      <c r="M34" s="1"/>
      <c r="N34" s="1"/>
      <c r="O34" s="1"/>
      <c r="P34" s="1"/>
      <c r="Q34" s="1"/>
      <c r="R34" s="1"/>
      <c r="S34" s="1"/>
    </row>
    <row r="35" spans="1:19" x14ac:dyDescent="0.35">
      <c r="K35" s="1" t="s">
        <v>70</v>
      </c>
      <c r="L35" s="1"/>
      <c r="M35" s="1"/>
      <c r="N35" s="1"/>
      <c r="O35" s="1"/>
      <c r="P35" s="1"/>
      <c r="Q35" s="1"/>
      <c r="R35" s="1"/>
      <c r="S35" s="1"/>
    </row>
    <row r="36" spans="1:19" x14ac:dyDescent="0.35">
      <c r="K36" s="1" t="s">
        <v>76</v>
      </c>
      <c r="L36" s="1"/>
      <c r="M36" s="1"/>
      <c r="N36" s="1"/>
      <c r="O36" s="1"/>
      <c r="P36" s="1"/>
      <c r="Q36" s="1"/>
      <c r="R36" s="1"/>
      <c r="S3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1745-F5E1-428E-B633-99655B61357C}">
  <dimension ref="B2:K32"/>
  <sheetViews>
    <sheetView workbookViewId="0">
      <selection activeCell="C3" sqref="C3:C11"/>
    </sheetView>
  </sheetViews>
  <sheetFormatPr defaultRowHeight="14.5" x14ac:dyDescent="0.35"/>
  <cols>
    <col min="2" max="2" width="15.08984375" bestFit="1" customWidth="1"/>
    <col min="3" max="3" width="15.7265625" bestFit="1" customWidth="1"/>
    <col min="4" max="4" width="17.54296875" bestFit="1" customWidth="1"/>
    <col min="5" max="5" width="15.7265625" bestFit="1" customWidth="1"/>
    <col min="6" max="6" width="13.453125" bestFit="1" customWidth="1"/>
    <col min="7" max="7" width="51.6328125" bestFit="1" customWidth="1"/>
    <col min="8" max="8" width="17" bestFit="1" customWidth="1"/>
    <col min="9" max="9" width="16.7265625" bestFit="1" customWidth="1"/>
    <col min="10" max="10" width="15.453125" bestFit="1" customWidth="1"/>
    <col min="11" max="11" width="16.26953125" bestFit="1" customWidth="1"/>
  </cols>
  <sheetData>
    <row r="2" spans="3:11" x14ac:dyDescent="0.35">
      <c r="C2" t="s">
        <v>159</v>
      </c>
    </row>
    <row r="3" spans="3:11" x14ac:dyDescent="0.35">
      <c r="C3" s="10" t="s">
        <v>9</v>
      </c>
      <c r="D3" s="8" t="s">
        <v>38</v>
      </c>
      <c r="E3" s="8" t="s">
        <v>117</v>
      </c>
      <c r="F3" s="8" t="s">
        <v>140</v>
      </c>
      <c r="G3" s="8" t="s">
        <v>1</v>
      </c>
      <c r="H3" s="8" t="s">
        <v>102</v>
      </c>
      <c r="I3" s="8" t="s">
        <v>113</v>
      </c>
      <c r="J3" s="8" t="s">
        <v>94</v>
      </c>
      <c r="K3" s="8" t="s">
        <v>105</v>
      </c>
    </row>
    <row r="4" spans="3:11" x14ac:dyDescent="0.35">
      <c r="C4" s="10" t="s">
        <v>8</v>
      </c>
      <c r="D4" s="8" t="s">
        <v>37</v>
      </c>
      <c r="E4" s="8" t="s">
        <v>116</v>
      </c>
      <c r="F4" s="8" t="s">
        <v>139</v>
      </c>
      <c r="G4" s="8" t="s">
        <v>0</v>
      </c>
      <c r="H4" s="8" t="s">
        <v>101</v>
      </c>
      <c r="I4" s="8" t="s">
        <v>112</v>
      </c>
      <c r="J4" s="8" t="s">
        <v>93</v>
      </c>
      <c r="K4" s="8" t="s">
        <v>64</v>
      </c>
    </row>
    <row r="5" spans="3:11" x14ac:dyDescent="0.35">
      <c r="C5" s="10" t="s">
        <v>10</v>
      </c>
      <c r="D5" s="8" t="s">
        <v>39</v>
      </c>
      <c r="E5" s="8" t="s">
        <v>19</v>
      </c>
      <c r="F5" s="8" t="s">
        <v>39</v>
      </c>
      <c r="G5" s="8" t="s">
        <v>2</v>
      </c>
      <c r="H5" s="8" t="s">
        <v>19</v>
      </c>
      <c r="I5" s="8" t="s">
        <v>32</v>
      </c>
      <c r="J5" s="8" t="s">
        <v>2</v>
      </c>
      <c r="K5" s="8" t="s">
        <v>39</v>
      </c>
    </row>
    <row r="6" spans="3:11" x14ac:dyDescent="0.35">
      <c r="C6" s="10" t="s">
        <v>11</v>
      </c>
      <c r="D6" s="8" t="s">
        <v>40</v>
      </c>
      <c r="E6" s="8" t="s">
        <v>118</v>
      </c>
      <c r="F6" s="8" t="s">
        <v>141</v>
      </c>
      <c r="G6" s="8" t="s">
        <v>3</v>
      </c>
      <c r="H6" s="8" t="s">
        <v>103</v>
      </c>
      <c r="I6" s="8" t="s">
        <v>114</v>
      </c>
      <c r="J6" s="8" t="s">
        <v>95</v>
      </c>
      <c r="K6" s="8" t="s">
        <v>106</v>
      </c>
    </row>
    <row r="7" spans="3:11" x14ac:dyDescent="0.35">
      <c r="C7" s="10" t="s">
        <v>12</v>
      </c>
      <c r="D7" s="8" t="s">
        <v>41</v>
      </c>
      <c r="E7" s="8" t="s">
        <v>41</v>
      </c>
      <c r="F7" s="8" t="s">
        <v>142</v>
      </c>
      <c r="G7" s="8" t="s">
        <v>4</v>
      </c>
      <c r="H7" s="8" t="s">
        <v>49</v>
      </c>
      <c r="I7" s="8" t="s">
        <v>4</v>
      </c>
      <c r="J7" s="8" t="s">
        <v>56</v>
      </c>
      <c r="K7" s="8" t="s">
        <v>28</v>
      </c>
    </row>
    <row r="8" spans="3:11" x14ac:dyDescent="0.35">
      <c r="C8" s="10" t="s">
        <v>13</v>
      </c>
      <c r="D8" s="8" t="s">
        <v>42</v>
      </c>
      <c r="E8" s="8" t="s">
        <v>119</v>
      </c>
      <c r="F8" s="8" t="s">
        <v>143</v>
      </c>
      <c r="G8" s="8" t="s">
        <v>5</v>
      </c>
      <c r="H8" s="8" t="s">
        <v>104</v>
      </c>
      <c r="I8" s="8" t="s">
        <v>115</v>
      </c>
      <c r="J8" s="8" t="s">
        <v>96</v>
      </c>
      <c r="K8" s="8" t="s">
        <v>107</v>
      </c>
    </row>
    <row r="9" spans="3:11" x14ac:dyDescent="0.35">
      <c r="C9" s="10" t="s">
        <v>14</v>
      </c>
      <c r="D9" s="9">
        <v>85000</v>
      </c>
      <c r="E9" s="9">
        <v>61000</v>
      </c>
      <c r="F9" s="9">
        <v>89000</v>
      </c>
      <c r="G9" s="9">
        <v>71000</v>
      </c>
      <c r="H9" s="9">
        <v>62000</v>
      </c>
      <c r="I9" s="9">
        <v>57000</v>
      </c>
      <c r="J9" s="9">
        <v>68000</v>
      </c>
      <c r="K9" s="9">
        <v>88000</v>
      </c>
    </row>
    <row r="10" spans="3:11" x14ac:dyDescent="0.35">
      <c r="C10" s="10" t="s">
        <v>15</v>
      </c>
      <c r="D10" s="8" t="s">
        <v>43</v>
      </c>
      <c r="E10" s="8" t="s">
        <v>23</v>
      </c>
      <c r="F10" s="8" t="s">
        <v>75</v>
      </c>
      <c r="G10" s="8" t="s">
        <v>6</v>
      </c>
      <c r="H10" s="8" t="s">
        <v>23</v>
      </c>
      <c r="I10" s="8" t="s">
        <v>23</v>
      </c>
      <c r="J10" s="8" t="s">
        <v>6</v>
      </c>
      <c r="K10" s="8" t="s">
        <v>43</v>
      </c>
    </row>
    <row r="11" spans="3:11" x14ac:dyDescent="0.35">
      <c r="C11" s="10" t="s">
        <v>16</v>
      </c>
      <c r="D11" s="8" t="s">
        <v>44</v>
      </c>
      <c r="E11" s="8" t="s">
        <v>24</v>
      </c>
      <c r="F11" s="8" t="s">
        <v>44</v>
      </c>
      <c r="G11" s="8" t="s">
        <v>7</v>
      </c>
      <c r="H11" s="8" t="s">
        <v>24</v>
      </c>
      <c r="I11" s="8" t="s">
        <v>36</v>
      </c>
      <c r="J11" s="8" t="s">
        <v>7</v>
      </c>
      <c r="K11" s="8" t="s">
        <v>44</v>
      </c>
    </row>
    <row r="14" spans="3:11" x14ac:dyDescent="0.35">
      <c r="C14" s="10" t="s">
        <v>9</v>
      </c>
      <c r="D14" s="7" t="s">
        <v>8</v>
      </c>
      <c r="E14" s="7" t="s">
        <v>12</v>
      </c>
      <c r="F14" s="7" t="s">
        <v>16</v>
      </c>
    </row>
    <row r="15" spans="3:11" x14ac:dyDescent="0.35">
      <c r="C15" s="8" t="s">
        <v>38</v>
      </c>
      <c r="D15" s="1" t="str">
        <f>HLOOKUP(C15,$C$3:$K$11,2,FALSE)</f>
        <v>Sunita Rao</v>
      </c>
      <c r="E15" s="1" t="str">
        <f>HLOOKUP(C15,$C$3:$K$11,5,FALSE)</f>
        <v>Hyderabad</v>
      </c>
      <c r="F15" s="1" t="str">
        <f>HLOOKUP(C15,$C$3:$K$11,9,FALSE)</f>
        <v>Ravi Gupta</v>
      </c>
      <c r="G15" t="str">
        <f ca="1">_xlfn.FORMULATEXT(D15)</f>
        <v>=HLOOKUP(C15,$C$3:$K$11,2,FALSE)</v>
      </c>
    </row>
    <row r="16" spans="3:11" x14ac:dyDescent="0.35">
      <c r="C16" s="8" t="s">
        <v>102</v>
      </c>
      <c r="D16" s="1" t="str">
        <f t="shared" ref="D16:D18" si="0">HLOOKUP(C16,$C$3:$K$11,2,FALSE)</f>
        <v>Pooja Das</v>
      </c>
      <c r="E16" s="1" t="str">
        <f t="shared" ref="E16:E18" si="1">HLOOKUP(C16,$C$3:$K$11,5,FALSE)</f>
        <v>Chennai</v>
      </c>
      <c r="F16" s="1" t="str">
        <f t="shared" ref="F16:F18" si="2">HLOOKUP(C16,$C$3:$K$11,9,FALSE)</f>
        <v>Deepak Nair</v>
      </c>
      <c r="G16" t="str">
        <f t="shared" ref="G16:G18" ca="1" si="3">_xlfn.FORMULATEXT(D16)</f>
        <v>=HLOOKUP(C16,$C$3:$K$11,2,FALSE)</v>
      </c>
    </row>
    <row r="17" spans="2:7" x14ac:dyDescent="0.35">
      <c r="C17" s="8" t="s">
        <v>117</v>
      </c>
      <c r="D17" s="1" t="str">
        <f t="shared" si="0"/>
        <v>Nidhi Yadav</v>
      </c>
      <c r="E17" s="1" t="str">
        <f t="shared" si="1"/>
        <v>Hyderabad</v>
      </c>
      <c r="F17" s="1" t="str">
        <f t="shared" si="2"/>
        <v>Deepak Nair</v>
      </c>
      <c r="G17" t="str">
        <f t="shared" ca="1" si="3"/>
        <v>=HLOOKUP(C17,$C$3:$K$11,2,FALSE)</v>
      </c>
    </row>
    <row r="18" spans="2:7" x14ac:dyDescent="0.35">
      <c r="C18" s="8" t="s">
        <v>113</v>
      </c>
      <c r="D18" s="1" t="str">
        <f t="shared" si="0"/>
        <v>Rajeev Pillai</v>
      </c>
      <c r="E18" s="1" t="str">
        <f t="shared" si="1"/>
        <v>Delhi</v>
      </c>
      <c r="F18" s="1" t="str">
        <f t="shared" si="2"/>
        <v>Reena Thomas</v>
      </c>
      <c r="G18" t="str">
        <f t="shared" ca="1" si="3"/>
        <v>=HLOOKUP(C18,$C$3:$K$11,2,FALSE)</v>
      </c>
    </row>
    <row r="19" spans="2:7" x14ac:dyDescent="0.35">
      <c r="D19" s="1"/>
    </row>
    <row r="20" spans="2:7" x14ac:dyDescent="0.35">
      <c r="D20" s="1"/>
    </row>
    <row r="21" spans="2:7" x14ac:dyDescent="0.35">
      <c r="B21" t="s">
        <v>160</v>
      </c>
      <c r="C21" s="10" t="s">
        <v>9</v>
      </c>
      <c r="D21" s="7" t="s">
        <v>8</v>
      </c>
      <c r="E21" s="7" t="s">
        <v>12</v>
      </c>
      <c r="F21" s="7" t="s">
        <v>16</v>
      </c>
    </row>
    <row r="22" spans="2:7" x14ac:dyDescent="0.35">
      <c r="C22" s="8" t="s">
        <v>38</v>
      </c>
      <c r="D22" s="1" t="str">
        <f>HLOOKUP($C22,$C$3:$K$11,MATCH(D$21,$C$3:$C$11,0),0)</f>
        <v>Sunita Rao</v>
      </c>
      <c r="E22" s="1" t="str">
        <f t="shared" ref="E22:F22" si="4">HLOOKUP($C22,$C$3:$K$11,MATCH(E$21,$C$3:$C$11,0),0)</f>
        <v>Hyderabad</v>
      </c>
      <c r="F22" s="1" t="str">
        <f t="shared" si="4"/>
        <v>Ravi Gupta</v>
      </c>
      <c r="G22" t="str">
        <f ca="1">_xlfn.FORMULATEXT(D22)</f>
        <v>=HLOOKUP($C22,$C$3:$K$11,MATCH(D$21,$C$3:$C$11,0),0)</v>
      </c>
    </row>
    <row r="23" spans="2:7" x14ac:dyDescent="0.35">
      <c r="C23" s="8" t="s">
        <v>102</v>
      </c>
      <c r="D23" s="1" t="str">
        <f t="shared" ref="D23:F26" si="5">HLOOKUP($C23,$C$3:$K$11,MATCH(D$21,$C$3:$C$11,0),0)</f>
        <v>Pooja Das</v>
      </c>
      <c r="E23" s="1" t="str">
        <f t="shared" si="5"/>
        <v>Chennai</v>
      </c>
      <c r="F23" s="1" t="str">
        <f t="shared" si="5"/>
        <v>Deepak Nair</v>
      </c>
      <c r="G23" t="str">
        <f ca="1">_xlfn.FORMULATEXT(D23)</f>
        <v>=HLOOKUP($C23,$C$3:$K$11,MATCH(D$21,$C$3:$C$11,0),0)</v>
      </c>
    </row>
    <row r="24" spans="2:7" x14ac:dyDescent="0.35">
      <c r="C24" s="8" t="s">
        <v>117</v>
      </c>
      <c r="D24" s="1" t="str">
        <f t="shared" si="5"/>
        <v>Nidhi Yadav</v>
      </c>
      <c r="E24" s="1" t="str">
        <f t="shared" si="5"/>
        <v>Hyderabad</v>
      </c>
      <c r="F24" s="1" t="str">
        <f t="shared" si="5"/>
        <v>Deepak Nair</v>
      </c>
      <c r="G24" t="str">
        <f t="shared" ref="G23:G25" ca="1" si="6">_xlfn.FORMULATEXT(D24)</f>
        <v>=HLOOKUP($C24,$C$3:$K$11,MATCH(D$21,$C$3:$C$11,0),0)</v>
      </c>
    </row>
    <row r="25" spans="2:7" x14ac:dyDescent="0.35">
      <c r="C25" s="8" t="s">
        <v>113</v>
      </c>
      <c r="D25" s="1" t="str">
        <f t="shared" si="5"/>
        <v>Rajeev Pillai</v>
      </c>
      <c r="E25" s="1" t="str">
        <f t="shared" si="5"/>
        <v>Delhi</v>
      </c>
      <c r="F25" s="1" t="str">
        <f t="shared" si="5"/>
        <v>Reena Thomas</v>
      </c>
      <c r="G25" t="str">
        <f t="shared" ca="1" si="6"/>
        <v>=HLOOKUP($C25,$C$3:$K$11,MATCH(D$21,$C$3:$C$11,0),0)</v>
      </c>
    </row>
    <row r="26" spans="2:7" x14ac:dyDescent="0.35">
      <c r="D26" s="1"/>
    </row>
    <row r="28" spans="2:7" x14ac:dyDescent="0.35">
      <c r="C28" s="10" t="s">
        <v>9</v>
      </c>
      <c r="D28" s="7" t="s">
        <v>8</v>
      </c>
      <c r="E28" s="7" t="s">
        <v>12</v>
      </c>
      <c r="F28" s="7" t="s">
        <v>16</v>
      </c>
    </row>
    <row r="29" spans="2:7" x14ac:dyDescent="0.35">
      <c r="B29" t="s">
        <v>183</v>
      </c>
      <c r="C29" s="8" t="s">
        <v>38</v>
      </c>
      <c r="D29" s="1" t="e">
        <f>HLOOKUP($C29,Emp_Hlook_Data,MATCH(D$28,Emp_Row_Num,0),0)</f>
        <v>#NAME?</v>
      </c>
      <c r="E29" s="1" t="e">
        <f>HLOOKUP($C29,Emp_Hlook_Data,MATCH(E$28,Emp_Row_Num,0),0)</f>
        <v>#NAME?</v>
      </c>
      <c r="F29" s="1" t="e">
        <f>HLOOKUP($C29,Emp_Hlook_Data,MATCH(F$28,Emp_Row_Num,0),0)</f>
        <v>#NAME?</v>
      </c>
    </row>
    <row r="30" spans="2:7" x14ac:dyDescent="0.35">
      <c r="C30" s="8" t="s">
        <v>102</v>
      </c>
      <c r="D30" s="1" t="e">
        <f>HLOOKUP($C30,Emp_Hlook_Data,MATCH(D$28,Emp_Row_Num,0),0)</f>
        <v>#NAME?</v>
      </c>
      <c r="E30" s="1" t="e">
        <f>HLOOKUP($C30,Emp_Hlook_Data,MATCH(E$28,Emp_Row_Num,0),0)</f>
        <v>#NAME?</v>
      </c>
      <c r="F30" s="1" t="e">
        <f>HLOOKUP($C30,Emp_Hlook_Data,MATCH(F$28,Emp_Row_Num,0),0)</f>
        <v>#NAME?</v>
      </c>
    </row>
    <row r="31" spans="2:7" x14ac:dyDescent="0.35">
      <c r="C31" s="8" t="s">
        <v>117</v>
      </c>
      <c r="D31" s="1" t="e">
        <f>HLOOKUP($C31,Emp_Hlook_Data,MATCH(D$28,Emp_Row_Num,0),0)</f>
        <v>#NAME?</v>
      </c>
      <c r="E31" s="1" t="e">
        <f>HLOOKUP($C31,Emp_Hlook_Data,MATCH(E$28,Emp_Row_Num,0),0)</f>
        <v>#NAME?</v>
      </c>
      <c r="F31" s="1" t="e">
        <f>HLOOKUP($C31,Emp_Hlook_Data,MATCH(F$28,Emp_Row_Num,0),0)</f>
        <v>#NAME?</v>
      </c>
    </row>
    <row r="32" spans="2:7" x14ac:dyDescent="0.35">
      <c r="C32" s="8" t="s">
        <v>113</v>
      </c>
      <c r="D32" s="1" t="e">
        <f>HLOOKUP($C32,Emp_Hlook_Data,MATCH(D$28,Emp_Row_Num,0),0)</f>
        <v>#NAME?</v>
      </c>
      <c r="E32" s="1" t="e">
        <f>HLOOKUP($C32,Emp_Hlook_Data,MATCH(E$28,Emp_Row_Num,0),0)</f>
        <v>#NAME?</v>
      </c>
      <c r="F32" s="1" t="e">
        <f>HLOOKUP($C32,Emp_Hlook_Data,MATCH(F$28,Emp_Row_Num,0),0)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8E04-5CC7-47B1-B454-B8EF366D5146}">
  <dimension ref="B3:O9"/>
  <sheetViews>
    <sheetView topLeftCell="E2" workbookViewId="0">
      <selection activeCell="Q5" sqref="Q5"/>
    </sheetView>
  </sheetViews>
  <sheetFormatPr defaultRowHeight="14.5" x14ac:dyDescent="0.35"/>
  <cols>
    <col min="2" max="2" width="11.1796875" bestFit="1" customWidth="1"/>
    <col min="3" max="3" width="20.26953125" customWidth="1"/>
    <col min="4" max="4" width="12.453125" bestFit="1" customWidth="1"/>
    <col min="5" max="5" width="8.453125" bestFit="1" customWidth="1"/>
    <col min="9" max="9" width="10.08984375" bestFit="1" customWidth="1"/>
    <col min="10" max="10" width="11.1796875" bestFit="1" customWidth="1"/>
    <col min="13" max="13" width="15.26953125" customWidth="1"/>
    <col min="14" max="14" width="13" customWidth="1"/>
    <col min="15" max="15" width="25.81640625" bestFit="1" customWidth="1"/>
  </cols>
  <sheetData>
    <row r="3" spans="2:15" x14ac:dyDescent="0.35">
      <c r="B3" s="13" t="s">
        <v>161</v>
      </c>
      <c r="C3" s="14"/>
      <c r="D3" s="14"/>
      <c r="E3" s="15"/>
      <c r="H3" s="16" t="s">
        <v>182</v>
      </c>
      <c r="I3" s="16"/>
      <c r="J3" s="16"/>
      <c r="K3" s="16"/>
      <c r="L3" s="16"/>
    </row>
    <row r="4" spans="2:15" x14ac:dyDescent="0.35">
      <c r="B4" s="1" t="s">
        <v>162</v>
      </c>
      <c r="C4" s="1" t="s">
        <v>163</v>
      </c>
      <c r="D4" s="1" t="s">
        <v>164</v>
      </c>
      <c r="E4" s="1" t="s">
        <v>165</v>
      </c>
      <c r="H4" s="1" t="s">
        <v>178</v>
      </c>
      <c r="I4" s="1" t="s">
        <v>179</v>
      </c>
      <c r="J4" s="1" t="s">
        <v>162</v>
      </c>
      <c r="K4" s="1" t="s">
        <v>180</v>
      </c>
      <c r="L4" s="1" t="s">
        <v>47</v>
      </c>
      <c r="M4" s="12" t="s">
        <v>191</v>
      </c>
      <c r="N4" s="12" t="s">
        <v>192</v>
      </c>
      <c r="O4" s="12" t="s">
        <v>165</v>
      </c>
    </row>
    <row r="5" spans="2:15" x14ac:dyDescent="0.35">
      <c r="B5" s="1" t="s">
        <v>173</v>
      </c>
      <c r="C5" s="1" t="s">
        <v>166</v>
      </c>
      <c r="D5" s="1" t="s">
        <v>171</v>
      </c>
      <c r="E5" s="1">
        <v>9890808</v>
      </c>
      <c r="H5" s="1">
        <v>1001</v>
      </c>
      <c r="I5" s="11">
        <v>46113</v>
      </c>
      <c r="J5" s="1" t="s">
        <v>173</v>
      </c>
      <c r="K5" s="1" t="s">
        <v>181</v>
      </c>
      <c r="L5" s="1">
        <v>100</v>
      </c>
      <c r="M5" s="1" t="str" cm="1">
        <f t="array" ref="M5:O5">_xlfn.XLOOKUP(J5,$B$4:$B$9,$C$4:$E$9)</f>
        <v>Likhitha</v>
      </c>
      <c r="N5" s="1" t="str">
        <v>AP</v>
      </c>
      <c r="O5" s="1">
        <v>9890808</v>
      </c>
    </row>
    <row r="6" spans="2:15" x14ac:dyDescent="0.35">
      <c r="B6" s="1" t="s">
        <v>174</v>
      </c>
      <c r="C6" s="1" t="s">
        <v>167</v>
      </c>
      <c r="D6" s="1" t="s">
        <v>171</v>
      </c>
      <c r="E6" s="1">
        <v>988708</v>
      </c>
      <c r="H6" s="1">
        <v>1002</v>
      </c>
      <c r="I6" s="11">
        <v>46115</v>
      </c>
      <c r="J6" s="1" t="s">
        <v>174</v>
      </c>
      <c r="K6" s="1" t="s">
        <v>181</v>
      </c>
      <c r="L6" s="1">
        <v>200</v>
      </c>
      <c r="M6" s="1" t="str" cm="1">
        <f t="array" ref="M6:O6">_xlfn.XLOOKUP(J6,$B$4:$B$9,$C$4:$E$9)</f>
        <v>Roja</v>
      </c>
      <c r="N6" s="1" t="str">
        <v>AP</v>
      </c>
      <c r="O6" s="1">
        <v>988708</v>
      </c>
    </row>
    <row r="7" spans="2:15" x14ac:dyDescent="0.35">
      <c r="B7" s="1" t="s">
        <v>175</v>
      </c>
      <c r="C7" s="1" t="s">
        <v>168</v>
      </c>
      <c r="D7" s="1" t="s">
        <v>171</v>
      </c>
      <c r="E7" s="1">
        <v>976097</v>
      </c>
      <c r="H7" s="1">
        <v>1003</v>
      </c>
      <c r="I7" s="11">
        <v>46117</v>
      </c>
      <c r="J7" s="1" t="s">
        <v>173</v>
      </c>
      <c r="K7" s="1" t="s">
        <v>181</v>
      </c>
      <c r="L7" s="1">
        <v>300</v>
      </c>
      <c r="M7" s="1" t="str" cm="1">
        <f t="array" ref="M7:O7">_xlfn.XLOOKUP(J7,$B$4:$B$9,$C$4:$E$9)</f>
        <v>Likhitha</v>
      </c>
      <c r="N7" s="1" t="str">
        <v>AP</v>
      </c>
      <c r="O7" s="1">
        <v>9890808</v>
      </c>
    </row>
    <row r="8" spans="2:15" x14ac:dyDescent="0.35">
      <c r="B8" s="1" t="s">
        <v>176</v>
      </c>
      <c r="C8" s="1" t="s">
        <v>169</v>
      </c>
      <c r="D8" s="1" t="s">
        <v>172</v>
      </c>
      <c r="E8" s="1">
        <v>679865</v>
      </c>
      <c r="H8" s="1">
        <v>1004</v>
      </c>
      <c r="I8" s="11">
        <v>46119</v>
      </c>
      <c r="J8" s="1" t="s">
        <v>176</v>
      </c>
      <c r="K8" s="1" t="s">
        <v>181</v>
      </c>
      <c r="L8" s="1">
        <v>400</v>
      </c>
      <c r="M8" s="1" t="str" cm="1">
        <f t="array" ref="M8:O8">_xlfn.XLOOKUP(J8,$B$4:$B$9,$C$4:$E$9)</f>
        <v>Karunakar</v>
      </c>
      <c r="N8" s="1" t="str">
        <v>TG</v>
      </c>
      <c r="O8" s="1">
        <v>679865</v>
      </c>
    </row>
    <row r="9" spans="2:15" x14ac:dyDescent="0.35">
      <c r="B9" s="1" t="s">
        <v>177</v>
      </c>
      <c r="C9" s="1" t="s">
        <v>170</v>
      </c>
      <c r="D9" s="1" t="s">
        <v>172</v>
      </c>
      <c r="E9" s="1">
        <v>654321</v>
      </c>
      <c r="H9" s="1">
        <v>1005</v>
      </c>
      <c r="I9" s="11">
        <v>46122</v>
      </c>
      <c r="J9" s="1" t="s">
        <v>177</v>
      </c>
      <c r="K9" s="1" t="s">
        <v>181</v>
      </c>
      <c r="L9" s="1">
        <v>500</v>
      </c>
      <c r="M9" s="1" t="str" cm="1">
        <f t="array" ref="M9:O9">_xlfn.XLOOKUP(J9,$B$4:$B$9,$C$4:$E$9)</f>
        <v>Ganesh</v>
      </c>
      <c r="N9" s="1" t="str">
        <v>TG</v>
      </c>
      <c r="O9" s="1">
        <v>654321</v>
      </c>
    </row>
  </sheetData>
  <mergeCells count="2">
    <mergeCell ref="B3:E3"/>
    <mergeCell ref="H3:L3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99B8-5C1D-4E17-82E6-E85FAC601702}">
  <dimension ref="A3:R33"/>
  <sheetViews>
    <sheetView topLeftCell="J9" workbookViewId="0">
      <selection activeCell="M19" sqref="M19"/>
    </sheetView>
  </sheetViews>
  <sheetFormatPr defaultRowHeight="14.5" x14ac:dyDescent="0.35"/>
  <cols>
    <col min="2" max="2" width="15.7265625" bestFit="1" customWidth="1"/>
    <col min="3" max="3" width="11.7265625" bestFit="1" customWidth="1"/>
    <col min="4" max="4" width="12.1796875" bestFit="1" customWidth="1"/>
    <col min="5" max="5" width="20.54296875" bestFit="1" customWidth="1"/>
    <col min="6" max="6" width="11.7265625" bestFit="1" customWidth="1"/>
    <col min="7" max="7" width="14.54296875" customWidth="1"/>
    <col min="8" max="8" width="13.453125" customWidth="1"/>
    <col min="9" max="9" width="11" customWidth="1"/>
    <col min="10" max="10" width="14.7265625" bestFit="1" customWidth="1"/>
    <col min="12" max="12" width="14.453125" bestFit="1" customWidth="1"/>
    <col min="13" max="13" width="33.26953125" customWidth="1"/>
    <col min="14" max="14" width="11.7265625" bestFit="1" customWidth="1"/>
    <col min="15" max="15" width="11.54296875" bestFit="1" customWidth="1"/>
    <col min="16" max="16" width="17.26953125" customWidth="1"/>
    <col min="17" max="17" width="13.54296875" customWidth="1"/>
  </cols>
  <sheetData>
    <row r="3" spans="1:18" x14ac:dyDescent="0.35">
      <c r="A3">
        <v>1</v>
      </c>
      <c r="B3" s="3" t="s">
        <v>8</v>
      </c>
      <c r="C3" s="3" t="s">
        <v>10</v>
      </c>
      <c r="D3" s="3" t="s">
        <v>9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L3" s="7" t="s">
        <v>82</v>
      </c>
      <c r="M3" s="7" t="s">
        <v>83</v>
      </c>
      <c r="O3" s="7" t="s">
        <v>82</v>
      </c>
      <c r="P3" s="7" t="s">
        <v>157</v>
      </c>
    </row>
    <row r="4" spans="1:18" x14ac:dyDescent="0.35">
      <c r="A4">
        <v>2</v>
      </c>
      <c r="B4" s="1" t="s">
        <v>17</v>
      </c>
      <c r="C4" s="1" t="s">
        <v>19</v>
      </c>
      <c r="D4" s="1" t="s">
        <v>18</v>
      </c>
      <c r="E4" s="1" t="s">
        <v>20</v>
      </c>
      <c r="F4" s="1" t="s">
        <v>21</v>
      </c>
      <c r="G4" s="1" t="s">
        <v>22</v>
      </c>
      <c r="H4" s="1">
        <v>65000</v>
      </c>
      <c r="I4" s="1" t="s">
        <v>23</v>
      </c>
      <c r="J4" s="1" t="s">
        <v>24</v>
      </c>
      <c r="L4" s="1" t="s">
        <v>8</v>
      </c>
      <c r="M4" s="1">
        <f>MATCH(L4,$B$3:$J$3,0)</f>
        <v>1</v>
      </c>
      <c r="O4" s="1" t="s">
        <v>18</v>
      </c>
      <c r="P4" s="1">
        <f>MATCH($O4,D3:D33,0)</f>
        <v>2</v>
      </c>
    </row>
    <row r="5" spans="1:18" x14ac:dyDescent="0.35">
      <c r="A5">
        <v>3</v>
      </c>
      <c r="B5" s="1" t="s">
        <v>25</v>
      </c>
      <c r="C5" s="1" t="s">
        <v>2</v>
      </c>
      <c r="D5" s="1" t="s">
        <v>26</v>
      </c>
      <c r="E5" s="1" t="s">
        <v>27</v>
      </c>
      <c r="F5" s="1" t="s">
        <v>28</v>
      </c>
      <c r="G5" s="1" t="s">
        <v>29</v>
      </c>
      <c r="H5" s="1">
        <v>78000</v>
      </c>
      <c r="I5" s="1" t="s">
        <v>6</v>
      </c>
      <c r="J5" s="1" t="s">
        <v>7</v>
      </c>
      <c r="L5" s="1" t="s">
        <v>9</v>
      </c>
      <c r="M5" s="1">
        <f t="shared" ref="M5:M9" si="0">MATCH(L5,$B$3:$J$3,0)</f>
        <v>3</v>
      </c>
      <c r="O5" s="1" t="s">
        <v>66</v>
      </c>
      <c r="P5" s="1">
        <f t="shared" ref="P5:P7" si="1">MATCH($O5,D4:D34,0)</f>
        <v>8</v>
      </c>
    </row>
    <row r="6" spans="1:18" x14ac:dyDescent="0.35">
      <c r="A6">
        <v>4</v>
      </c>
      <c r="B6" s="1" t="s">
        <v>30</v>
      </c>
      <c r="C6" s="1" t="s">
        <v>32</v>
      </c>
      <c r="D6" s="1" t="s">
        <v>31</v>
      </c>
      <c r="E6" s="1" t="s">
        <v>33</v>
      </c>
      <c r="F6" s="1" t="s">
        <v>4</v>
      </c>
      <c r="G6" s="1" t="s">
        <v>34</v>
      </c>
      <c r="H6" s="1">
        <v>50000</v>
      </c>
      <c r="I6" s="1" t="s">
        <v>35</v>
      </c>
      <c r="J6" s="1" t="s">
        <v>36</v>
      </c>
      <c r="L6" s="1" t="s">
        <v>10</v>
      </c>
      <c r="M6" s="1">
        <f t="shared" si="0"/>
        <v>2</v>
      </c>
      <c r="O6" s="1" t="s">
        <v>105</v>
      </c>
      <c r="P6" s="1">
        <f t="shared" si="1"/>
        <v>16</v>
      </c>
    </row>
    <row r="7" spans="1:18" x14ac:dyDescent="0.35">
      <c r="A7">
        <v>5</v>
      </c>
      <c r="B7" s="1" t="s">
        <v>37</v>
      </c>
      <c r="C7" s="1" t="s">
        <v>39</v>
      </c>
      <c r="D7" s="1" t="s">
        <v>38</v>
      </c>
      <c r="E7" s="1" t="s">
        <v>40</v>
      </c>
      <c r="F7" s="1" t="s">
        <v>41</v>
      </c>
      <c r="G7" s="1" t="s">
        <v>42</v>
      </c>
      <c r="H7" s="1">
        <v>85000</v>
      </c>
      <c r="I7" s="1" t="s">
        <v>43</v>
      </c>
      <c r="J7" s="1" t="s">
        <v>44</v>
      </c>
      <c r="L7" s="1" t="s">
        <v>16</v>
      </c>
      <c r="M7" s="1">
        <f t="shared" si="0"/>
        <v>9</v>
      </c>
      <c r="O7" s="1" t="s">
        <v>117</v>
      </c>
      <c r="P7" s="1">
        <f t="shared" si="1"/>
        <v>18</v>
      </c>
    </row>
    <row r="8" spans="1:18" x14ac:dyDescent="0.35">
      <c r="A8">
        <v>6</v>
      </c>
      <c r="B8" s="1" t="s">
        <v>45</v>
      </c>
      <c r="C8" s="1" t="s">
        <v>47</v>
      </c>
      <c r="D8" s="1" t="s">
        <v>46</v>
      </c>
      <c r="E8" s="1" t="s">
        <v>48</v>
      </c>
      <c r="F8" s="1" t="s">
        <v>49</v>
      </c>
      <c r="G8" s="1" t="s">
        <v>50</v>
      </c>
      <c r="H8" s="1">
        <v>55000</v>
      </c>
      <c r="I8" s="1" t="s">
        <v>23</v>
      </c>
      <c r="J8" s="1" t="s">
        <v>51</v>
      </c>
      <c r="L8" s="1" t="s">
        <v>12</v>
      </c>
      <c r="M8" s="1">
        <f t="shared" si="0"/>
        <v>5</v>
      </c>
    </row>
    <row r="9" spans="1:18" x14ac:dyDescent="0.35">
      <c r="A9">
        <v>7</v>
      </c>
      <c r="B9" s="1" t="s">
        <v>53</v>
      </c>
      <c r="C9" s="1" t="s">
        <v>19</v>
      </c>
      <c r="D9" s="1" t="s">
        <v>54</v>
      </c>
      <c r="E9" s="1" t="s">
        <v>55</v>
      </c>
      <c r="F9" s="1" t="s">
        <v>56</v>
      </c>
      <c r="G9" s="1" t="s">
        <v>57</v>
      </c>
      <c r="H9" s="1">
        <v>48000</v>
      </c>
      <c r="I9" s="1" t="s">
        <v>35</v>
      </c>
      <c r="J9" s="1" t="s">
        <v>24</v>
      </c>
      <c r="L9" s="5" t="s">
        <v>14</v>
      </c>
      <c r="M9" s="1">
        <f t="shared" si="0"/>
        <v>7</v>
      </c>
    </row>
    <row r="10" spans="1:18" x14ac:dyDescent="0.35">
      <c r="A10">
        <v>8</v>
      </c>
      <c r="B10" s="1" t="s">
        <v>59</v>
      </c>
      <c r="C10" s="1" t="s">
        <v>2</v>
      </c>
      <c r="D10" s="1" t="s">
        <v>60</v>
      </c>
      <c r="E10" s="1" t="s">
        <v>61</v>
      </c>
      <c r="F10" s="1" t="s">
        <v>62</v>
      </c>
      <c r="G10" s="1" t="s">
        <v>63</v>
      </c>
      <c r="H10" s="1">
        <v>60000</v>
      </c>
      <c r="I10" s="1" t="s">
        <v>23</v>
      </c>
      <c r="J10" s="1" t="s">
        <v>7</v>
      </c>
    </row>
    <row r="11" spans="1:18" x14ac:dyDescent="0.35">
      <c r="A11">
        <v>9</v>
      </c>
      <c r="B11" s="1" t="s">
        <v>65</v>
      </c>
      <c r="C11" s="1" t="s">
        <v>32</v>
      </c>
      <c r="D11" s="1" t="s">
        <v>66</v>
      </c>
      <c r="E11" s="1" t="s">
        <v>67</v>
      </c>
      <c r="F11" s="1" t="s">
        <v>68</v>
      </c>
      <c r="G11" s="1" t="s">
        <v>69</v>
      </c>
      <c r="H11" s="1">
        <v>70000</v>
      </c>
      <c r="I11" s="1" t="s">
        <v>6</v>
      </c>
      <c r="J11" s="1" t="s">
        <v>36</v>
      </c>
      <c r="L11" s="7" t="s">
        <v>158</v>
      </c>
      <c r="M11" s="3" t="s">
        <v>8</v>
      </c>
      <c r="N11" s="3" t="s">
        <v>14</v>
      </c>
      <c r="O11" s="3" t="s">
        <v>10</v>
      </c>
      <c r="P11" s="3" t="s">
        <v>11</v>
      </c>
      <c r="Q11" s="3" t="s">
        <v>12</v>
      </c>
      <c r="R11" s="3" t="s">
        <v>14</v>
      </c>
    </row>
    <row r="12" spans="1:18" x14ac:dyDescent="0.35">
      <c r="A12">
        <v>10</v>
      </c>
      <c r="B12" s="1" t="s">
        <v>71</v>
      </c>
      <c r="C12" s="1" t="s">
        <v>39</v>
      </c>
      <c r="D12" s="1" t="s">
        <v>72</v>
      </c>
      <c r="E12" s="1" t="s">
        <v>73</v>
      </c>
      <c r="F12" s="1" t="s">
        <v>21</v>
      </c>
      <c r="G12" s="1" t="s">
        <v>74</v>
      </c>
      <c r="H12" s="1">
        <v>95000</v>
      </c>
      <c r="I12" s="1" t="s">
        <v>75</v>
      </c>
      <c r="J12" s="1" t="s">
        <v>44</v>
      </c>
      <c r="L12" s="1" t="s">
        <v>18</v>
      </c>
      <c r="M12" s="1" t="str">
        <f>INDEX(INDEXMATCH,MATCH($L12,ID,0),MATCH(M$11,Employee_Name,0))</f>
        <v>Ramesh Kumar</v>
      </c>
      <c r="N12" s="1">
        <f>INDEX(INDEXMATCH,MATCH($L12,ID,0),MATCH(N$11,Employee_Name,0))</f>
        <v>65000</v>
      </c>
      <c r="O12" s="1" t="str">
        <f>INDEX(INDEXMATCH,MATCH($L12,ID,0),MATCH(O$11,Employee_Name,0))</f>
        <v>Finance</v>
      </c>
      <c r="P12" s="1" t="str">
        <f>INDEX(INDEXMATCH,MATCH($L12,ID,0),MATCH(P$11,Employee_Name,0))</f>
        <v>Sr. Analyst</v>
      </c>
      <c r="Q12" s="1" t="str">
        <f>INDEX(INDEXMATCH,MATCH($L12,ID,0),MATCH(Q$11,Employee_Name,0))</f>
        <v>Mumbai</v>
      </c>
      <c r="R12" s="1">
        <f>INDEX(INDEXMATCH,MATCH($L12,ID,0),MATCH(R$11,Employee_Name,0))</f>
        <v>65000</v>
      </c>
    </row>
    <row r="13" spans="1:18" x14ac:dyDescent="0.35">
      <c r="A13">
        <v>11</v>
      </c>
      <c r="B13" s="1" t="s">
        <v>52</v>
      </c>
      <c r="C13" s="1" t="s">
        <v>47</v>
      </c>
      <c r="D13" s="1" t="s">
        <v>77</v>
      </c>
      <c r="E13" s="1" t="s">
        <v>78</v>
      </c>
      <c r="F13" s="1" t="s">
        <v>4</v>
      </c>
      <c r="G13" s="1" t="s">
        <v>79</v>
      </c>
      <c r="H13" s="1">
        <v>73000</v>
      </c>
      <c r="I13" s="1" t="s">
        <v>6</v>
      </c>
      <c r="J13" s="1" t="s">
        <v>51</v>
      </c>
      <c r="L13" s="1" t="s">
        <v>66</v>
      </c>
      <c r="M13" s="1" t="str">
        <f>INDEX(INDEXMATCH,MATCH($L13,ID,0),MATCH(M$11,Employee_Name,0))</f>
        <v>Divya Nair</v>
      </c>
      <c r="N13" s="1">
        <f>INDEX(INDEXMATCH,MATCH($L13,ID,0),MATCH(N$11,Employee_Name,0))</f>
        <v>70000</v>
      </c>
      <c r="O13" s="1" t="str">
        <f>INDEX(INDEXMATCH,MATCH($L13,ID,0),MATCH(O$11,Employee_Name,0))</f>
        <v>HR</v>
      </c>
      <c r="P13" s="1" t="str">
        <f>INDEX(INDEXMATCH,MATCH($L13,ID,0),MATCH(P$11,Employee_Name,0))</f>
        <v>HR Manager</v>
      </c>
      <c r="Q13" s="1" t="str">
        <f>INDEX(INDEXMATCH,MATCH($L13,ID,0),MATCH(Q$11,Employee_Name,0))</f>
        <v>Kochi</v>
      </c>
      <c r="R13" s="1">
        <f>INDEX(INDEXMATCH,MATCH($L13,ID,0),MATCH(R$11,Employee_Name,0))</f>
        <v>70000</v>
      </c>
    </row>
    <row r="14" spans="1:18" x14ac:dyDescent="0.35">
      <c r="A14">
        <v>12</v>
      </c>
      <c r="B14" s="1" t="s">
        <v>76</v>
      </c>
      <c r="C14" s="1" t="s">
        <v>39</v>
      </c>
      <c r="D14" s="1" t="s">
        <v>80</v>
      </c>
      <c r="E14" s="1" t="s">
        <v>40</v>
      </c>
      <c r="F14" s="1" t="s">
        <v>41</v>
      </c>
      <c r="G14" s="1" t="s">
        <v>81</v>
      </c>
      <c r="H14" s="1">
        <v>87000</v>
      </c>
      <c r="I14" s="1" t="s">
        <v>43</v>
      </c>
      <c r="J14" s="1" t="s">
        <v>44</v>
      </c>
      <c r="L14" s="1" t="s">
        <v>105</v>
      </c>
      <c r="M14" s="1" t="str">
        <f>INDEX(INDEXMATCH,MATCH($L14,ID,0),MATCH(M$11,Employee_Name,0))</f>
        <v>Arjun Nair</v>
      </c>
      <c r="N14" s="1">
        <f>INDEX(INDEXMATCH,MATCH($L14,ID,0),MATCH(N$11,Employee_Name,0))</f>
        <v>88000</v>
      </c>
      <c r="O14" s="1" t="str">
        <f>INDEX(INDEXMATCH,MATCH($L14,ID,0),MATCH(O$11,Employee_Name,0))</f>
        <v>IT</v>
      </c>
      <c r="P14" s="1" t="str">
        <f>INDEX(INDEXMATCH,MATCH($L14,ID,0),MATCH(P$11,Employee_Name,0))</f>
        <v>DevOps Engineer</v>
      </c>
      <c r="Q14" s="1" t="str">
        <f>INDEX(INDEXMATCH,MATCH($L14,ID,0),MATCH(Q$11,Employee_Name,0))</f>
        <v>Bengaluru</v>
      </c>
      <c r="R14" s="1">
        <f>INDEX(INDEXMATCH,MATCH($L14,ID,0),MATCH(R$11,Employee_Name,0))</f>
        <v>88000</v>
      </c>
    </row>
    <row r="15" spans="1:18" x14ac:dyDescent="0.35">
      <c r="A15">
        <v>13</v>
      </c>
      <c r="B15" s="1" t="s">
        <v>84</v>
      </c>
      <c r="C15" s="1" t="s">
        <v>32</v>
      </c>
      <c r="D15" s="1" t="s">
        <v>85</v>
      </c>
      <c r="E15" s="1" t="s">
        <v>86</v>
      </c>
      <c r="F15" s="1" t="s">
        <v>68</v>
      </c>
      <c r="G15" s="1" t="s">
        <v>87</v>
      </c>
      <c r="H15" s="1">
        <v>52000</v>
      </c>
      <c r="I15" s="1" t="s">
        <v>35</v>
      </c>
      <c r="J15" s="1" t="s">
        <v>36</v>
      </c>
      <c r="L15" s="1" t="s">
        <v>117</v>
      </c>
      <c r="M15" s="1" t="str">
        <f>INDEX(INDEXMATCH,MATCH($L15,ID,0),MATCH(M$11,Employee_Name,0))</f>
        <v>Nidhi Yadav</v>
      </c>
      <c r="N15" s="1">
        <f>INDEX(INDEXMATCH,MATCH($L15,ID,0),MATCH(N$11,Employee_Name,0))</f>
        <v>61000</v>
      </c>
      <c r="O15" s="1" t="str">
        <f>INDEX(INDEXMATCH,MATCH($L15,ID,0),MATCH(O$11,Employee_Name,0))</f>
        <v>Finance</v>
      </c>
      <c r="P15" s="1" t="str">
        <f>INDEX(INDEXMATCH,MATCH($L15,ID,0),MATCH(P$11,Employee_Name,0))</f>
        <v>Accounts Officer</v>
      </c>
      <c r="Q15" s="1" t="str">
        <f>INDEX(INDEXMATCH,MATCH($L15,ID,0),MATCH(Q$11,Employee_Name,0))</f>
        <v>Hyderabad</v>
      </c>
      <c r="R15" s="1">
        <f>INDEX(INDEXMATCH,MATCH($L15,ID,0),MATCH(R$11,Employee_Name,0))</f>
        <v>61000</v>
      </c>
    </row>
    <row r="16" spans="1:18" x14ac:dyDescent="0.35">
      <c r="A16">
        <v>14</v>
      </c>
      <c r="B16" s="1" t="s">
        <v>88</v>
      </c>
      <c r="C16" s="1" t="s">
        <v>19</v>
      </c>
      <c r="D16" s="1" t="s">
        <v>89</v>
      </c>
      <c r="E16" s="1" t="s">
        <v>90</v>
      </c>
      <c r="F16" s="1" t="s">
        <v>91</v>
      </c>
      <c r="G16" s="1" t="s">
        <v>92</v>
      </c>
      <c r="H16" s="1">
        <v>90000</v>
      </c>
      <c r="I16" s="1" t="s">
        <v>75</v>
      </c>
      <c r="J16" s="1" t="s">
        <v>24</v>
      </c>
    </row>
    <row r="17" spans="1:18" x14ac:dyDescent="0.35">
      <c r="A17">
        <v>15</v>
      </c>
      <c r="B17" s="1" t="s">
        <v>93</v>
      </c>
      <c r="C17" s="1" t="s">
        <v>2</v>
      </c>
      <c r="D17" s="1" t="s">
        <v>94</v>
      </c>
      <c r="E17" s="1" t="s">
        <v>95</v>
      </c>
      <c r="F17" s="1" t="s">
        <v>56</v>
      </c>
      <c r="G17" s="1" t="s">
        <v>96</v>
      </c>
      <c r="H17" s="1">
        <v>68000</v>
      </c>
      <c r="I17" s="1" t="s">
        <v>6</v>
      </c>
      <c r="J17" s="1" t="s">
        <v>7</v>
      </c>
    </row>
    <row r="18" spans="1:18" x14ac:dyDescent="0.35">
      <c r="A18">
        <v>16</v>
      </c>
      <c r="B18" s="1" t="s">
        <v>97</v>
      </c>
      <c r="C18" s="1" t="s">
        <v>47</v>
      </c>
      <c r="D18" s="1" t="s">
        <v>98</v>
      </c>
      <c r="E18" s="1" t="s">
        <v>99</v>
      </c>
      <c r="F18" s="1" t="s">
        <v>21</v>
      </c>
      <c r="G18" s="1" t="s">
        <v>100</v>
      </c>
      <c r="H18" s="1">
        <v>75000</v>
      </c>
      <c r="I18" s="1" t="s">
        <v>43</v>
      </c>
      <c r="J18" s="1" t="s">
        <v>51</v>
      </c>
      <c r="L18" s="7" t="s">
        <v>158</v>
      </c>
      <c r="M18" s="3" t="s">
        <v>8</v>
      </c>
      <c r="N18" s="3" t="s">
        <v>14</v>
      </c>
      <c r="O18" s="3" t="s">
        <v>10</v>
      </c>
      <c r="P18" s="3" t="s">
        <v>11</v>
      </c>
      <c r="Q18" s="3" t="s">
        <v>12</v>
      </c>
      <c r="R18" s="3" t="s">
        <v>14</v>
      </c>
    </row>
    <row r="19" spans="1:18" x14ac:dyDescent="0.35">
      <c r="A19">
        <v>17</v>
      </c>
      <c r="B19" s="1" t="s">
        <v>101</v>
      </c>
      <c r="C19" s="1" t="s">
        <v>19</v>
      </c>
      <c r="D19" s="1" t="s">
        <v>102</v>
      </c>
      <c r="E19" s="1" t="s">
        <v>103</v>
      </c>
      <c r="F19" s="1" t="s">
        <v>49</v>
      </c>
      <c r="G19" s="1" t="s">
        <v>104</v>
      </c>
      <c r="H19" s="1">
        <v>62000</v>
      </c>
      <c r="I19" s="1" t="s">
        <v>23</v>
      </c>
      <c r="J19" s="1" t="s">
        <v>24</v>
      </c>
      <c r="L19" s="1" t="s">
        <v>18</v>
      </c>
      <c r="M19" s="1"/>
      <c r="N19" s="1"/>
      <c r="O19" s="1"/>
      <c r="P19" s="1"/>
      <c r="Q19" s="1"/>
      <c r="R19" s="1"/>
    </row>
    <row r="20" spans="1:18" x14ac:dyDescent="0.35">
      <c r="A20">
        <v>18</v>
      </c>
      <c r="B20" s="1" t="s">
        <v>64</v>
      </c>
      <c r="C20" s="1" t="s">
        <v>39</v>
      </c>
      <c r="D20" s="1" t="s">
        <v>105</v>
      </c>
      <c r="E20" s="1" t="s">
        <v>106</v>
      </c>
      <c r="F20" s="1" t="s">
        <v>28</v>
      </c>
      <c r="G20" s="1" t="s">
        <v>107</v>
      </c>
      <c r="H20" s="1">
        <v>88000</v>
      </c>
      <c r="I20" s="1" t="s">
        <v>43</v>
      </c>
      <c r="J20" s="1" t="s">
        <v>44</v>
      </c>
      <c r="L20" s="1" t="s">
        <v>66</v>
      </c>
      <c r="M20" s="1"/>
      <c r="N20" s="1"/>
      <c r="O20" s="1"/>
      <c r="P20" s="1"/>
      <c r="Q20" s="1"/>
      <c r="R20" s="1"/>
    </row>
    <row r="21" spans="1:18" x14ac:dyDescent="0.35">
      <c r="A21">
        <v>19</v>
      </c>
      <c r="B21" s="1" t="s">
        <v>108</v>
      </c>
      <c r="C21" s="1" t="s">
        <v>2</v>
      </c>
      <c r="D21" s="1" t="s">
        <v>109</v>
      </c>
      <c r="E21" s="1" t="s">
        <v>110</v>
      </c>
      <c r="F21" s="1" t="s">
        <v>62</v>
      </c>
      <c r="G21" s="1" t="s">
        <v>111</v>
      </c>
      <c r="H21" s="1">
        <v>69000</v>
      </c>
      <c r="I21" s="1" t="s">
        <v>6</v>
      </c>
      <c r="J21" s="1" t="s">
        <v>7</v>
      </c>
      <c r="L21" s="1" t="s">
        <v>105</v>
      </c>
      <c r="M21" s="1"/>
      <c r="N21" s="1"/>
      <c r="O21" s="1"/>
      <c r="P21" s="1"/>
      <c r="Q21" s="1"/>
      <c r="R21" s="1"/>
    </row>
    <row r="22" spans="1:18" x14ac:dyDescent="0.35">
      <c r="A22">
        <v>20</v>
      </c>
      <c r="B22" s="1" t="s">
        <v>112</v>
      </c>
      <c r="C22" s="1" t="s">
        <v>32</v>
      </c>
      <c r="D22" s="1" t="s">
        <v>113</v>
      </c>
      <c r="E22" s="1" t="s">
        <v>114</v>
      </c>
      <c r="F22" s="1" t="s">
        <v>4</v>
      </c>
      <c r="G22" s="1" t="s">
        <v>115</v>
      </c>
      <c r="H22" s="1">
        <v>57000</v>
      </c>
      <c r="I22" s="1" t="s">
        <v>23</v>
      </c>
      <c r="J22" s="1" t="s">
        <v>36</v>
      </c>
      <c r="L22" s="1" t="s">
        <v>117</v>
      </c>
      <c r="M22" s="1"/>
      <c r="N22" s="1"/>
      <c r="O22" s="1"/>
      <c r="P22" s="1"/>
      <c r="Q22" s="1"/>
      <c r="R22" s="1"/>
    </row>
    <row r="23" spans="1:18" x14ac:dyDescent="0.35">
      <c r="A23">
        <v>21</v>
      </c>
      <c r="B23" s="1" t="s">
        <v>116</v>
      </c>
      <c r="C23" s="1" t="s">
        <v>19</v>
      </c>
      <c r="D23" s="1" t="s">
        <v>117</v>
      </c>
      <c r="E23" s="1" t="s">
        <v>118</v>
      </c>
      <c r="F23" s="1" t="s">
        <v>41</v>
      </c>
      <c r="G23" s="1" t="s">
        <v>119</v>
      </c>
      <c r="H23" s="1">
        <v>61000</v>
      </c>
      <c r="I23" s="1" t="s">
        <v>23</v>
      </c>
      <c r="J23" s="1" t="s">
        <v>24</v>
      </c>
    </row>
    <row r="24" spans="1:18" x14ac:dyDescent="0.35">
      <c r="A24">
        <v>22</v>
      </c>
      <c r="B24" s="1" t="s">
        <v>120</v>
      </c>
      <c r="C24" s="1" t="s">
        <v>47</v>
      </c>
      <c r="D24" s="1" t="s">
        <v>121</v>
      </c>
      <c r="E24" s="1" t="s">
        <v>122</v>
      </c>
      <c r="F24" s="1" t="s">
        <v>56</v>
      </c>
      <c r="G24" s="1" t="s">
        <v>123</v>
      </c>
      <c r="H24" s="1">
        <v>80000</v>
      </c>
      <c r="I24" s="1" t="s">
        <v>43</v>
      </c>
      <c r="J24" s="1" t="s">
        <v>51</v>
      </c>
      <c r="L24" t="s">
        <v>184</v>
      </c>
      <c r="M24" t="s">
        <v>185</v>
      </c>
      <c r="N24" t="s">
        <v>188</v>
      </c>
    </row>
    <row r="25" spans="1:18" x14ac:dyDescent="0.35">
      <c r="A25">
        <v>23</v>
      </c>
      <c r="B25" s="1" t="s">
        <v>70</v>
      </c>
      <c r="C25" s="1" t="s">
        <v>39</v>
      </c>
      <c r="D25" s="1" t="s">
        <v>124</v>
      </c>
      <c r="E25" s="1" t="s">
        <v>125</v>
      </c>
      <c r="F25" s="1" t="s">
        <v>21</v>
      </c>
      <c r="G25" s="1" t="s">
        <v>126</v>
      </c>
      <c r="H25" s="1">
        <v>91000</v>
      </c>
      <c r="I25" s="1" t="s">
        <v>75</v>
      </c>
      <c r="J25" s="1" t="s">
        <v>44</v>
      </c>
      <c r="M25" t="s">
        <v>186</v>
      </c>
      <c r="N25" t="s">
        <v>189</v>
      </c>
    </row>
    <row r="26" spans="1:18" x14ac:dyDescent="0.35">
      <c r="A26">
        <v>24</v>
      </c>
      <c r="B26" s="1" t="s">
        <v>127</v>
      </c>
      <c r="C26" s="1" t="s">
        <v>32</v>
      </c>
      <c r="D26" s="1" t="s">
        <v>128</v>
      </c>
      <c r="E26" s="1" t="s">
        <v>129</v>
      </c>
      <c r="F26" s="1" t="s">
        <v>49</v>
      </c>
      <c r="G26" s="1" t="s">
        <v>130</v>
      </c>
      <c r="H26" s="1">
        <v>54000</v>
      </c>
      <c r="I26" s="1" t="s">
        <v>23</v>
      </c>
      <c r="J26" s="1" t="s">
        <v>36</v>
      </c>
      <c r="M26" t="s">
        <v>187</v>
      </c>
      <c r="N26" t="s">
        <v>190</v>
      </c>
    </row>
    <row r="27" spans="1:18" x14ac:dyDescent="0.35">
      <c r="A27">
        <v>25</v>
      </c>
      <c r="B27" s="1" t="s">
        <v>0</v>
      </c>
      <c r="C27" s="1" t="s">
        <v>2</v>
      </c>
      <c r="D27" s="1" t="s">
        <v>1</v>
      </c>
      <c r="E27" s="1" t="s">
        <v>3</v>
      </c>
      <c r="F27" s="1" t="s">
        <v>4</v>
      </c>
      <c r="G27" s="1" t="s">
        <v>5</v>
      </c>
      <c r="H27" s="1">
        <v>71000</v>
      </c>
      <c r="I27" s="1" t="s">
        <v>6</v>
      </c>
      <c r="J27" s="1" t="s">
        <v>7</v>
      </c>
    </row>
    <row r="28" spans="1:18" x14ac:dyDescent="0.35">
      <c r="A28">
        <v>26</v>
      </c>
      <c r="B28" s="1" t="s">
        <v>131</v>
      </c>
      <c r="C28" s="1" t="s">
        <v>19</v>
      </c>
      <c r="D28" s="1" t="s">
        <v>132</v>
      </c>
      <c r="E28" s="1" t="s">
        <v>133</v>
      </c>
      <c r="F28" s="1" t="s">
        <v>134</v>
      </c>
      <c r="G28" s="1" t="s">
        <v>135</v>
      </c>
      <c r="H28" s="1">
        <v>94000</v>
      </c>
      <c r="I28" s="1" t="s">
        <v>75</v>
      </c>
      <c r="J28" s="1" t="s">
        <v>24</v>
      </c>
    </row>
    <row r="29" spans="1:18" x14ac:dyDescent="0.35">
      <c r="A29">
        <v>27</v>
      </c>
      <c r="B29" s="1" t="s">
        <v>136</v>
      </c>
      <c r="C29" s="1" t="s">
        <v>47</v>
      </c>
      <c r="D29" s="1" t="s">
        <v>137</v>
      </c>
      <c r="E29" s="1" t="s">
        <v>48</v>
      </c>
      <c r="F29" s="1" t="s">
        <v>28</v>
      </c>
      <c r="G29" s="1" t="s">
        <v>138</v>
      </c>
      <c r="H29" s="1">
        <v>59000</v>
      </c>
      <c r="I29" s="1" t="s">
        <v>23</v>
      </c>
      <c r="J29" s="1" t="s">
        <v>51</v>
      </c>
    </row>
    <row r="30" spans="1:18" x14ac:dyDescent="0.35">
      <c r="A30">
        <v>28</v>
      </c>
      <c r="B30" s="1" t="s">
        <v>139</v>
      </c>
      <c r="C30" s="1" t="s">
        <v>39</v>
      </c>
      <c r="D30" s="1" t="s">
        <v>140</v>
      </c>
      <c r="E30" s="1" t="s">
        <v>141</v>
      </c>
      <c r="F30" s="1" t="s">
        <v>142</v>
      </c>
      <c r="G30" s="1" t="s">
        <v>143</v>
      </c>
      <c r="H30" s="1">
        <v>89000</v>
      </c>
      <c r="I30" s="1" t="s">
        <v>75</v>
      </c>
      <c r="J30" s="1" t="s">
        <v>44</v>
      </c>
    </row>
    <row r="31" spans="1:18" x14ac:dyDescent="0.35">
      <c r="A31">
        <v>29</v>
      </c>
      <c r="B31" s="1" t="s">
        <v>146</v>
      </c>
      <c r="C31" s="1" t="s">
        <v>2</v>
      </c>
      <c r="D31" s="1" t="s">
        <v>147</v>
      </c>
      <c r="E31" s="1" t="s">
        <v>148</v>
      </c>
      <c r="F31" s="1" t="s">
        <v>68</v>
      </c>
      <c r="G31" s="1" t="s">
        <v>149</v>
      </c>
      <c r="H31" s="1">
        <v>86000</v>
      </c>
      <c r="I31" s="1" t="s">
        <v>43</v>
      </c>
      <c r="J31" s="1" t="s">
        <v>7</v>
      </c>
    </row>
    <row r="32" spans="1:18" x14ac:dyDescent="0.35">
      <c r="A32">
        <v>30</v>
      </c>
      <c r="B32" s="1" t="s">
        <v>150</v>
      </c>
      <c r="C32" s="1" t="s">
        <v>32</v>
      </c>
      <c r="D32" s="1" t="s">
        <v>151</v>
      </c>
      <c r="E32" s="1" t="s">
        <v>33</v>
      </c>
      <c r="F32" s="1" t="s">
        <v>21</v>
      </c>
      <c r="G32" s="1" t="s">
        <v>152</v>
      </c>
      <c r="H32" s="1">
        <v>53000</v>
      </c>
      <c r="I32" s="1" t="s">
        <v>35</v>
      </c>
      <c r="J32" s="1" t="s">
        <v>36</v>
      </c>
    </row>
    <row r="33" spans="1:10" x14ac:dyDescent="0.35">
      <c r="A33">
        <v>31</v>
      </c>
      <c r="B33" s="1" t="s">
        <v>58</v>
      </c>
      <c r="C33" s="1" t="s">
        <v>19</v>
      </c>
      <c r="D33" s="1" t="s">
        <v>153</v>
      </c>
      <c r="E33" s="1" t="s">
        <v>154</v>
      </c>
      <c r="F33" s="1" t="s">
        <v>155</v>
      </c>
      <c r="G33" s="1" t="s">
        <v>156</v>
      </c>
      <c r="H33" s="1">
        <v>60000</v>
      </c>
      <c r="I33" s="1" t="s">
        <v>23</v>
      </c>
      <c r="J33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Vlookup</vt:lpstr>
      <vt:lpstr>HLookUP</vt:lpstr>
      <vt:lpstr>Xlookup</vt:lpstr>
      <vt:lpstr>Index_Match</vt:lpstr>
      <vt:lpstr>Customer_DATA</vt:lpstr>
      <vt:lpstr>Emp_DATASET</vt:lpstr>
      <vt:lpstr>Employee_Name</vt:lpstr>
      <vt:lpstr>Employee_SALESDATA</vt:lpstr>
      <vt:lpstr>HLOOKUP</vt:lpstr>
      <vt:lpstr>HLOOKUP2</vt:lpstr>
      <vt:lpstr>ID</vt:lpstr>
      <vt:lpstr>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aparnamittapally6@gmail.com</cp:lastModifiedBy>
  <dcterms:created xsi:type="dcterms:W3CDTF">2026-04-22T04:07:49Z</dcterms:created>
  <dcterms:modified xsi:type="dcterms:W3CDTF">2026-07-08T07:36:54Z</dcterms:modified>
</cp:coreProperties>
</file>